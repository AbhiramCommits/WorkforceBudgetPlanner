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Headcount_Forecast" sheetId="2" state="visible" r:id="rId2"/>
    <sheet name="Scenarios" sheetId="3" state="visible" r:id="rId3"/>
    <sheet name="Budget_Variance" sheetId="4" state="visible" r:id="rId4"/>
  </sheets>
  <definedNames>
    <definedName name="fringe_rate">Assumptions!$B$4</definedName>
    <definedName name="ot_fraction">Assumptions!$B$5</definedName>
    <definedName name="ot_premium">Assumptions!$B$6</definedName>
    <definedName name="attrition_multiplier">Assumptions!$B$7</definedName>
    <definedName name="spike_months">Assumptions!$B$8</definedName>
    <definedName name="freeze_start_month">Assumptions!$B$9</definedName>
    <definedName name="max_ot_hours">Assumptions!$B$10</definedName>
    <definedName name="ot_hours_per_head">Assumptions!$B$11</definedName>
    <definedName name="hire_cost">Assumptions!$B$12</definedName>
    <definedName name="extra_reqs_per_month">Assumptions!$B$13</definedName>
    <definedName name="sites_count">Assumptions!$B$14</definedName>
    <definedName name="avg_blended_salary">Assumptions!$B$15</definedName>
    <definedName name="_xlnm._FilterDatabase" localSheetId="1" hidden="1">'Headcount_Forecast'!$A$1:$I$49</definedName>
    <definedName name="_xlnm._FilterDatabase" localSheetId="3" hidden="1">'Budget_Variance'!$A$1:$I$865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&quot;$&quot;#,##0.00"/>
    <numFmt numFmtId="166" formatCode="yyyy-mm-dd h:mm:ss"/>
    <numFmt numFmtId="167" formatCode="mmm yyyy"/>
    <numFmt numFmtId="168" formatCode="+0.0%;-0.0%;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Headcount: Baseline vs Scenarios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'Scenarios'!B5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'Scenarios'!$A$6:$A$17</f>
            </numRef>
          </cat>
          <val>
            <numRef>
              <f>'Scenarios'!$B$6:$B$17</f>
            </numRef>
          </val>
        </ser>
        <ser>
          <idx val="1"/>
          <order val="1"/>
          <tx>
            <strRef>
              <f>'Scenarios'!F5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'Scenarios'!$A$6:$A$17</f>
            </numRef>
          </cat>
          <val>
            <numRef>
              <f>'Scenarios'!$F$6:$F$17</f>
            </numRef>
          </val>
        </ser>
        <ser>
          <idx val="2"/>
          <order val="2"/>
          <tx>
            <strRef>
              <f>'Scenarios'!G5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'Scenarios'!$A$6:$A$17</f>
            </numRef>
          </cat>
          <val>
            <numRef>
              <f>'Scenarios'!$G$6:$G$17</f>
            </numRef>
          </val>
        </ser>
        <ser>
          <idx val="3"/>
          <order val="3"/>
          <tx>
            <strRef>
              <f>'Scenarios'!H5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'Scenarios'!$A$6:$A$17</f>
            </numRef>
          </cat>
          <val>
            <numRef>
              <f>'Scenarios'!$H$6:$H$17</f>
            </numRef>
          </val>
        </ser>
        <ser>
          <idx val="4"/>
          <order val="4"/>
          <tx>
            <strRef>
              <f>'Scenarios'!I5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'Scenarios'!$A$6:$A$17</f>
            </numRef>
          </cat>
          <val>
            <numRef>
              <f>'Scenarios'!$I$6:$I$17</f>
            </numRef>
          </val>
        </ser>
        <ser>
          <idx val="5"/>
          <order val="5"/>
          <tx>
            <strRef>
              <f>'Scenarios'!U5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'Scenarios'!$A$6:$A$17</f>
            </numRef>
          </cat>
          <val>
            <numRef>
              <f>'Scenarios'!$U$6:$U$17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Headcount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Variance by Cost Center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'Budget_Variance'!L1</f>
            </strRef>
          </tx>
          <spPr>
            <a:ln>
              <a:prstDash val="solid"/>
            </a:ln>
          </spPr>
          <cat>
            <numRef>
              <f>'Budget_Variance'!$K$2:$K$25</f>
            </numRef>
          </cat>
          <val>
            <numRef>
              <f>'Budget_Variance'!$L$2:$L$25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40" customWidth="1" min="4" max="4"/>
  </cols>
  <sheetData>
    <row r="1">
      <c r="A1" s="1" t="inlineStr">
        <is>
          <t>Workforce Planning Assumptions</t>
        </is>
      </c>
    </row>
    <row r="3">
      <c r="A3" s="2" t="inlineStr">
        <is>
          <t>Name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t="inlineStr">
        <is>
          <t>fringe_rate</t>
        </is>
      </c>
      <c r="B4" s="3" t="n">
        <v>0.28</v>
      </c>
      <c r="C4" t="inlineStr">
        <is>
          <t>fraction</t>
        </is>
      </c>
      <c r="D4" t="inlineStr">
        <is>
          <t>Benefits/load on base pay</t>
        </is>
      </c>
    </row>
    <row r="5">
      <c r="A5" t="inlineStr">
        <is>
          <t>ot_fraction</t>
        </is>
      </c>
      <c r="B5" s="3" t="n">
        <v>0.05</v>
      </c>
      <c r="C5" t="inlineStr">
        <is>
          <t>fraction</t>
        </is>
      </c>
      <c r="D5" t="inlineStr">
        <is>
          <t>Structural overtime share of labor</t>
        </is>
      </c>
    </row>
    <row r="6">
      <c r="A6" t="inlineStr">
        <is>
          <t>ot_premium</t>
        </is>
      </c>
      <c r="B6" s="4" t="n">
        <v>1.5</v>
      </c>
      <c r="C6" t="inlineStr">
        <is>
          <t>multiplier</t>
        </is>
      </c>
      <c r="D6" t="inlineStr">
        <is>
          <t>Overtime pay premium</t>
        </is>
      </c>
    </row>
    <row r="7">
      <c r="A7" t="inlineStr">
        <is>
          <t>attrition_multiplier</t>
        </is>
      </c>
      <c r="B7" s="3" t="n">
        <v>1.75</v>
      </c>
      <c r="C7" t="inlineStr">
        <is>
          <t>multiplier</t>
        </is>
      </c>
      <c r="D7" t="inlineStr">
        <is>
          <t>Scenario attrition spike</t>
        </is>
      </c>
    </row>
    <row r="8">
      <c r="A8" t="inlineStr">
        <is>
          <t>spike_months</t>
        </is>
      </c>
      <c r="B8" s="5" t="n">
        <v>6</v>
      </c>
      <c r="C8" t="inlineStr">
        <is>
          <t>months</t>
        </is>
      </c>
      <c r="D8" t="inlineStr">
        <is>
          <t>Duration of attrition spike</t>
        </is>
      </c>
    </row>
    <row r="9">
      <c r="A9" t="inlineStr">
        <is>
          <t>freeze_start_month</t>
        </is>
      </c>
      <c r="B9" s="5" t="n">
        <v>1</v>
      </c>
      <c r="C9" t="inlineStr">
        <is>
          <t>month</t>
        </is>
      </c>
      <c r="D9" t="inlineStr">
        <is>
          <t>No requisition fills after this month</t>
        </is>
      </c>
    </row>
    <row r="10">
      <c r="A10" t="inlineStr">
        <is>
          <t>max_ot_hours</t>
        </is>
      </c>
      <c r="B10" s="5" t="n">
        <v>60</v>
      </c>
      <c r="C10" t="inlineStr">
        <is>
          <t>hours/head/month</t>
        </is>
      </c>
      <c r="D10" t="inlineStr">
        <is>
          <t>Overtime cap per employee</t>
        </is>
      </c>
    </row>
    <row r="11">
      <c r="A11" t="inlineStr">
        <is>
          <t>ot_hours_per_head</t>
        </is>
      </c>
      <c r="B11" s="5" t="n">
        <v>160</v>
      </c>
      <c r="C11" t="inlineStr">
        <is>
          <t>hours/head/month</t>
        </is>
      </c>
      <c r="D11" t="inlineStr">
        <is>
          <t>Monthly capacity of one missing head</t>
        </is>
      </c>
    </row>
    <row r="12">
      <c r="A12" t="inlineStr">
        <is>
          <t>hire_cost</t>
        </is>
      </c>
      <c r="B12" s="6" t="n">
        <v>5000</v>
      </c>
      <c r="C12" t="inlineStr">
        <is>
          <t>USD/hire</t>
        </is>
      </c>
      <c r="D12" t="inlineStr">
        <is>
          <t>Ramp cost per hire</t>
        </is>
      </c>
    </row>
    <row r="13">
      <c r="A13" t="inlineStr">
        <is>
          <t>extra_reqs_per_month</t>
        </is>
      </c>
      <c r="B13" s="5" t="n">
        <v>5</v>
      </c>
      <c r="C13" t="inlineStr">
        <is>
          <t>reqs/site/month</t>
        </is>
      </c>
      <c r="D13" t="inlineStr">
        <is>
          <t>Accelerated hiring volume</t>
        </is>
      </c>
    </row>
    <row r="14">
      <c r="A14" t="inlineStr">
        <is>
          <t>sites_count</t>
        </is>
      </c>
      <c r="B14" s="5" t="n">
        <v>4</v>
      </c>
      <c r="C14" t="inlineStr">
        <is>
          <t>sites</t>
        </is>
      </c>
      <c r="D14" t="inlineStr">
        <is>
          <t>Number of sites</t>
        </is>
      </c>
    </row>
    <row r="15">
      <c r="A15" t="inlineStr">
        <is>
          <t>avg_blended_salary</t>
        </is>
      </c>
      <c r="B15" s="6" t="n">
        <v>62748.67</v>
      </c>
      <c r="C15" t="inlineStr">
        <is>
          <t>USD/year</t>
        </is>
      </c>
      <c r="D15" t="inlineStr">
        <is>
          <t>Headcount-weighted average band salary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22" customWidth="1" min="4" max="4"/>
    <col width="11" customWidth="1" min="5" max="5"/>
    <col width="11" customWidth="1" min="6" max="6"/>
    <col width="14" customWidth="1" min="7" max="7"/>
    <col width="14" customWidth="1" min="8" max="8"/>
    <col width="16" customWidth="1" min="9" max="9"/>
  </cols>
  <sheetData>
    <row r="1">
      <c r="A1" s="2" t="inlineStr">
        <is>
          <t>Fiscal Month</t>
        </is>
      </c>
      <c r="B1" s="2" t="inlineStr">
        <is>
          <t>Site</t>
        </is>
      </c>
      <c r="C1" s="2" t="inlineStr">
        <is>
          <t>Headcount</t>
        </is>
      </c>
      <c r="D1" s="2" t="inlineStr">
        <is>
          <t>Blended Salary (USD/yr)</t>
        </is>
      </c>
      <c r="E1" s="2" t="inlineStr">
        <is>
          <t>Attrition</t>
        </is>
      </c>
      <c r="F1" s="2" t="inlineStr">
        <is>
          <t>Req Fills</t>
        </is>
      </c>
      <c r="G1" s="2" t="inlineStr">
        <is>
          <t>Labor USD</t>
        </is>
      </c>
      <c r="H1" s="2" t="inlineStr">
        <is>
          <t>Overtime USD</t>
        </is>
      </c>
      <c r="I1" s="2" t="inlineStr">
        <is>
          <t>Total Labor USD</t>
        </is>
      </c>
    </row>
    <row r="2">
      <c r="A2" s="7" t="n">
        <v>46266</v>
      </c>
      <c r="B2" t="inlineStr">
        <is>
          <t>Gresham</t>
        </is>
      </c>
      <c r="C2" s="4" t="n">
        <v>860.33</v>
      </c>
      <c r="D2" s="6" t="n">
        <v>62473.01951779563</v>
      </c>
      <c r="E2" s="3" t="n">
        <v>10.67</v>
      </c>
      <c r="F2" s="3" t="n">
        <v>0</v>
      </c>
      <c r="G2" s="6">
        <f>ROUND(C2*D2*(1+fringe_rate)/12,2)</f>
        <v/>
      </c>
      <c r="H2" s="6">
        <f>ROUND(G2*ot_fraction,2)</f>
        <v/>
      </c>
      <c r="I2" s="6">
        <f>ROUND(G2+H2,2)</f>
        <v/>
      </c>
    </row>
    <row r="3">
      <c r="A3" s="7" t="n">
        <v>46296</v>
      </c>
      <c r="B3" t="inlineStr">
        <is>
          <t>Gresham</t>
        </is>
      </c>
      <c r="C3" s="4" t="n">
        <v>853.55</v>
      </c>
      <c r="D3" s="6" t="n">
        <v>62473.01951779563</v>
      </c>
      <c r="E3" s="3" t="n">
        <v>10.54</v>
      </c>
      <c r="F3" s="3" t="n">
        <v>3.77</v>
      </c>
      <c r="G3" s="6">
        <f>ROUND(C3*D3*(1+fringe_rate)/12,2)</f>
        <v/>
      </c>
      <c r="H3" s="6">
        <f>ROUND(G3*ot_fraction,2)</f>
        <v/>
      </c>
      <c r="I3" s="6">
        <f>ROUND(G3+H3,2)</f>
        <v/>
      </c>
    </row>
    <row r="4">
      <c r="A4" s="7" t="n">
        <v>46327</v>
      </c>
      <c r="B4" t="inlineStr">
        <is>
          <t>Gresham</t>
        </is>
      </c>
      <c r="C4" s="4" t="n">
        <v>843.09</v>
      </c>
      <c r="D4" s="6" t="n">
        <v>62473.01951779563</v>
      </c>
      <c r="E4" s="3" t="n">
        <v>10.46</v>
      </c>
      <c r="F4" s="3" t="n">
        <v>0</v>
      </c>
      <c r="G4" s="6">
        <f>ROUND(C4*D4*(1+fringe_rate)/12,2)</f>
        <v/>
      </c>
      <c r="H4" s="6">
        <f>ROUND(G4*ot_fraction,2)</f>
        <v/>
      </c>
      <c r="I4" s="6">
        <f>ROUND(G4+H4,2)</f>
        <v/>
      </c>
    </row>
    <row r="5">
      <c r="A5" s="7" t="n">
        <v>46357</v>
      </c>
      <c r="B5" t="inlineStr">
        <is>
          <t>Gresham</t>
        </is>
      </c>
      <c r="C5" s="4" t="n">
        <v>832.76</v>
      </c>
      <c r="D5" s="6" t="n">
        <v>62473.01951779563</v>
      </c>
      <c r="E5" s="3" t="n">
        <v>10.33</v>
      </c>
      <c r="F5" s="3" t="n">
        <v>0</v>
      </c>
      <c r="G5" s="6">
        <f>ROUND(C5*D5*(1+fringe_rate)/12,2)</f>
        <v/>
      </c>
      <c r="H5" s="6">
        <f>ROUND(G5*ot_fraction,2)</f>
        <v/>
      </c>
      <c r="I5" s="6">
        <f>ROUND(G5+H5,2)</f>
        <v/>
      </c>
    </row>
    <row r="6">
      <c r="A6" s="7" t="n">
        <v>46388</v>
      </c>
      <c r="B6" t="inlineStr">
        <is>
          <t>Gresham</t>
        </is>
      </c>
      <c r="C6" s="4" t="n">
        <v>822.55</v>
      </c>
      <c r="D6" s="6" t="n">
        <v>62473.01951779563</v>
      </c>
      <c r="E6" s="3" t="n">
        <v>10.2</v>
      </c>
      <c r="F6" s="3" t="n">
        <v>0</v>
      </c>
      <c r="G6" s="6">
        <f>ROUND(C6*D6*(1+fringe_rate)/12,2)</f>
        <v/>
      </c>
      <c r="H6" s="6">
        <f>ROUND(G6*ot_fraction,2)</f>
        <v/>
      </c>
      <c r="I6" s="6">
        <f>ROUND(G6+H6,2)</f>
        <v/>
      </c>
    </row>
    <row r="7">
      <c r="A7" s="7" t="n">
        <v>46419</v>
      </c>
      <c r="B7" t="inlineStr">
        <is>
          <t>Gresham</t>
        </is>
      </c>
      <c r="C7" s="4" t="n">
        <v>812.47</v>
      </c>
      <c r="D7" s="6" t="n">
        <v>62473.01951779563</v>
      </c>
      <c r="E7" s="3" t="n">
        <v>10.08</v>
      </c>
      <c r="F7" s="3" t="n">
        <v>0</v>
      </c>
      <c r="G7" s="6">
        <f>ROUND(C7*D7*(1+fringe_rate)/12,2)</f>
        <v/>
      </c>
      <c r="H7" s="6">
        <f>ROUND(G7*ot_fraction,2)</f>
        <v/>
      </c>
      <c r="I7" s="6">
        <f>ROUND(G7+H7,2)</f>
        <v/>
      </c>
    </row>
    <row r="8">
      <c r="A8" s="7" t="n">
        <v>46447</v>
      </c>
      <c r="B8" t="inlineStr">
        <is>
          <t>Gresham</t>
        </is>
      </c>
      <c r="C8" s="4" t="n">
        <v>802.52</v>
      </c>
      <c r="D8" s="6" t="n">
        <v>62473.01951779563</v>
      </c>
      <c r="E8" s="3" t="n">
        <v>9.960000000000001</v>
      </c>
      <c r="F8" s="3" t="n">
        <v>0</v>
      </c>
      <c r="G8" s="6">
        <f>ROUND(C8*D8*(1+fringe_rate)/12,2)</f>
        <v/>
      </c>
      <c r="H8" s="6">
        <f>ROUND(G8*ot_fraction,2)</f>
        <v/>
      </c>
      <c r="I8" s="6">
        <f>ROUND(G8+H8,2)</f>
        <v/>
      </c>
    </row>
    <row r="9">
      <c r="A9" s="7" t="n">
        <v>46478</v>
      </c>
      <c r="B9" t="inlineStr">
        <is>
          <t>Gresham</t>
        </is>
      </c>
      <c r="C9" s="4" t="n">
        <v>792.6799999999999</v>
      </c>
      <c r="D9" s="6" t="n">
        <v>62473.01951779563</v>
      </c>
      <c r="E9" s="3" t="n">
        <v>9.83</v>
      </c>
      <c r="F9" s="3" t="n">
        <v>0</v>
      </c>
      <c r="G9" s="6">
        <f>ROUND(C9*D9*(1+fringe_rate)/12,2)</f>
        <v/>
      </c>
      <c r="H9" s="6">
        <f>ROUND(G9*ot_fraction,2)</f>
        <v/>
      </c>
      <c r="I9" s="6">
        <f>ROUND(G9+H9,2)</f>
        <v/>
      </c>
    </row>
    <row r="10">
      <c r="A10" s="7" t="n">
        <v>46508</v>
      </c>
      <c r="B10" t="inlineStr">
        <is>
          <t>Gresham</t>
        </is>
      </c>
      <c r="C10" s="4" t="n">
        <v>782.97</v>
      </c>
      <c r="D10" s="6" t="n">
        <v>62473.01951779563</v>
      </c>
      <c r="E10" s="3" t="n">
        <v>9.710000000000001</v>
      </c>
      <c r="F10" s="3" t="n">
        <v>0</v>
      </c>
      <c r="G10" s="6">
        <f>ROUND(C10*D10*(1+fringe_rate)/12,2)</f>
        <v/>
      </c>
      <c r="H10" s="6">
        <f>ROUND(G10*ot_fraction,2)</f>
        <v/>
      </c>
      <c r="I10" s="6">
        <f>ROUND(G10+H10,2)</f>
        <v/>
      </c>
    </row>
    <row r="11">
      <c r="A11" s="7" t="n">
        <v>46539</v>
      </c>
      <c r="B11" t="inlineStr">
        <is>
          <t>Gresham</t>
        </is>
      </c>
      <c r="C11" s="4" t="n">
        <v>773.37</v>
      </c>
      <c r="D11" s="6" t="n">
        <v>62473.01951779563</v>
      </c>
      <c r="E11" s="3" t="n">
        <v>9.59</v>
      </c>
      <c r="F11" s="3" t="n">
        <v>0</v>
      </c>
      <c r="G11" s="6">
        <f>ROUND(C11*D11*(1+fringe_rate)/12,2)</f>
        <v/>
      </c>
      <c r="H11" s="6">
        <f>ROUND(G11*ot_fraction,2)</f>
        <v/>
      </c>
      <c r="I11" s="6">
        <f>ROUND(G11+H11,2)</f>
        <v/>
      </c>
    </row>
    <row r="12">
      <c r="A12" s="7" t="n">
        <v>46569</v>
      </c>
      <c r="B12" t="inlineStr">
        <is>
          <t>Gresham</t>
        </is>
      </c>
      <c r="C12" s="4" t="n">
        <v>763.9</v>
      </c>
      <c r="D12" s="6" t="n">
        <v>62473.01951779563</v>
      </c>
      <c r="E12" s="3" t="n">
        <v>9.48</v>
      </c>
      <c r="F12" s="3" t="n">
        <v>0</v>
      </c>
      <c r="G12" s="6">
        <f>ROUND(C12*D12*(1+fringe_rate)/12,2)</f>
        <v/>
      </c>
      <c r="H12" s="6">
        <f>ROUND(G12*ot_fraction,2)</f>
        <v/>
      </c>
      <c r="I12" s="6">
        <f>ROUND(G12+H12,2)</f>
        <v/>
      </c>
    </row>
    <row r="13">
      <c r="A13" s="7" t="n">
        <v>46600</v>
      </c>
      <c r="B13" t="inlineStr">
        <is>
          <t>Gresham</t>
        </is>
      </c>
      <c r="C13" s="4" t="n">
        <v>754.54</v>
      </c>
      <c r="D13" s="6" t="n">
        <v>62473.01951779563</v>
      </c>
      <c r="E13" s="3" t="n">
        <v>9.359999999999999</v>
      </c>
      <c r="F13" s="3" t="n">
        <v>0</v>
      </c>
      <c r="G13" s="6">
        <f>ROUND(C13*D13*(1+fringe_rate)/12,2)</f>
        <v/>
      </c>
      <c r="H13" s="6">
        <f>ROUND(G13*ot_fraction,2)</f>
        <v/>
      </c>
      <c r="I13" s="6">
        <f>ROUND(G13+H13,2)</f>
        <v/>
      </c>
    </row>
    <row r="14">
      <c r="A14" s="7" t="n">
        <v>46266</v>
      </c>
      <c r="B14" t="inlineStr">
        <is>
          <t>Roseville</t>
        </is>
      </c>
      <c r="C14" s="4" t="n">
        <v>791.13</v>
      </c>
      <c r="D14" s="6" t="n">
        <v>63743.42928660826</v>
      </c>
      <c r="E14" s="3" t="n">
        <v>7.87</v>
      </c>
      <c r="F14" s="3" t="n">
        <v>0</v>
      </c>
      <c r="G14" s="6">
        <f>ROUND(C14*D14*(1+fringe_rate)/12,2)</f>
        <v/>
      </c>
      <c r="H14" s="6">
        <f>ROUND(G14*ot_fraction,2)</f>
        <v/>
      </c>
      <c r="I14" s="6">
        <f>ROUND(G14+H14,2)</f>
        <v/>
      </c>
    </row>
    <row r="15">
      <c r="A15" s="7" t="n">
        <v>46296</v>
      </c>
      <c r="B15" t="inlineStr">
        <is>
          <t>Roseville</t>
        </is>
      </c>
      <c r="C15" s="4" t="n">
        <v>789.0599999999999</v>
      </c>
      <c r="D15" s="6" t="n">
        <v>63743.42928660826</v>
      </c>
      <c r="E15" s="3" t="n">
        <v>7.8</v>
      </c>
      <c r="F15" s="3" t="n">
        <v>5.73</v>
      </c>
      <c r="G15" s="6">
        <f>ROUND(C15*D15*(1+fringe_rate)/12,2)</f>
        <v/>
      </c>
      <c r="H15" s="6">
        <f>ROUND(G15*ot_fraction,2)</f>
        <v/>
      </c>
      <c r="I15" s="6">
        <f>ROUND(G15+H15,2)</f>
        <v/>
      </c>
    </row>
    <row r="16">
      <c r="A16" s="7" t="n">
        <v>46327</v>
      </c>
      <c r="B16" t="inlineStr">
        <is>
          <t>Roseville</t>
        </is>
      </c>
      <c r="C16" s="4" t="n">
        <v>781.28</v>
      </c>
      <c r="D16" s="6" t="n">
        <v>63743.42928660826</v>
      </c>
      <c r="E16" s="3" t="n">
        <v>7.78</v>
      </c>
      <c r="F16" s="3" t="n">
        <v>0</v>
      </c>
      <c r="G16" s="6">
        <f>ROUND(C16*D16*(1+fringe_rate)/12,2)</f>
        <v/>
      </c>
      <c r="H16" s="6">
        <f>ROUND(G16*ot_fraction,2)</f>
        <v/>
      </c>
      <c r="I16" s="6">
        <f>ROUND(G16+H16,2)</f>
        <v/>
      </c>
    </row>
    <row r="17">
      <c r="A17" s="7" t="n">
        <v>46357</v>
      </c>
      <c r="B17" t="inlineStr">
        <is>
          <t>Roseville</t>
        </is>
      </c>
      <c r="C17" s="4" t="n">
        <v>773.58</v>
      </c>
      <c r="D17" s="6" t="n">
        <v>63743.42928660826</v>
      </c>
      <c r="E17" s="3" t="n">
        <v>7.7</v>
      </c>
      <c r="F17" s="3" t="n">
        <v>0</v>
      </c>
      <c r="G17" s="6">
        <f>ROUND(C17*D17*(1+fringe_rate)/12,2)</f>
        <v/>
      </c>
      <c r="H17" s="6">
        <f>ROUND(G17*ot_fraction,2)</f>
        <v/>
      </c>
      <c r="I17" s="6">
        <f>ROUND(G17+H17,2)</f>
        <v/>
      </c>
    </row>
    <row r="18">
      <c r="A18" s="7" t="n">
        <v>46388</v>
      </c>
      <c r="B18" t="inlineStr">
        <is>
          <t>Roseville</t>
        </is>
      </c>
      <c r="C18" s="4" t="n">
        <v>765.96</v>
      </c>
      <c r="D18" s="6" t="n">
        <v>63743.42928660826</v>
      </c>
      <c r="E18" s="3" t="n">
        <v>7.62</v>
      </c>
      <c r="F18" s="3" t="n">
        <v>0</v>
      </c>
      <c r="G18" s="6">
        <f>ROUND(C18*D18*(1+fringe_rate)/12,2)</f>
        <v/>
      </c>
      <c r="H18" s="6">
        <f>ROUND(G18*ot_fraction,2)</f>
        <v/>
      </c>
      <c r="I18" s="6">
        <f>ROUND(G18+H18,2)</f>
        <v/>
      </c>
    </row>
    <row r="19">
      <c r="A19" s="7" t="n">
        <v>46419</v>
      </c>
      <c r="B19" t="inlineStr">
        <is>
          <t>Roseville</t>
        </is>
      </c>
      <c r="C19" s="4" t="n">
        <v>758.41</v>
      </c>
      <c r="D19" s="6" t="n">
        <v>63743.42928660826</v>
      </c>
      <c r="E19" s="3" t="n">
        <v>7.55</v>
      </c>
      <c r="F19" s="3" t="n">
        <v>0</v>
      </c>
      <c r="G19" s="6">
        <f>ROUND(C19*D19*(1+fringe_rate)/12,2)</f>
        <v/>
      </c>
      <c r="H19" s="6">
        <f>ROUND(G19*ot_fraction,2)</f>
        <v/>
      </c>
      <c r="I19" s="6">
        <f>ROUND(G19+H19,2)</f>
        <v/>
      </c>
    </row>
    <row r="20">
      <c r="A20" s="7" t="n">
        <v>46447</v>
      </c>
      <c r="B20" t="inlineStr">
        <is>
          <t>Roseville</t>
        </is>
      </c>
      <c r="C20" s="4" t="n">
        <v>750.9400000000001</v>
      </c>
      <c r="D20" s="6" t="n">
        <v>63743.42928660826</v>
      </c>
      <c r="E20" s="3" t="n">
        <v>7.47</v>
      </c>
      <c r="F20" s="3" t="n">
        <v>0</v>
      </c>
      <c r="G20" s="6">
        <f>ROUND(C20*D20*(1+fringe_rate)/12,2)</f>
        <v/>
      </c>
      <c r="H20" s="6">
        <f>ROUND(G20*ot_fraction,2)</f>
        <v/>
      </c>
      <c r="I20" s="6">
        <f>ROUND(G20+H20,2)</f>
        <v/>
      </c>
    </row>
    <row r="21">
      <c r="A21" s="7" t="n">
        <v>46478</v>
      </c>
      <c r="B21" t="inlineStr">
        <is>
          <t>Roseville</t>
        </is>
      </c>
      <c r="C21" s="4" t="n">
        <v>743.54</v>
      </c>
      <c r="D21" s="6" t="n">
        <v>63743.42928660826</v>
      </c>
      <c r="E21" s="3" t="n">
        <v>7.4</v>
      </c>
      <c r="F21" s="3" t="n">
        <v>0</v>
      </c>
      <c r="G21" s="6">
        <f>ROUND(C21*D21*(1+fringe_rate)/12,2)</f>
        <v/>
      </c>
      <c r="H21" s="6">
        <f>ROUND(G21*ot_fraction,2)</f>
        <v/>
      </c>
      <c r="I21" s="6">
        <f>ROUND(G21+H21,2)</f>
        <v/>
      </c>
    </row>
    <row r="22">
      <c r="A22" s="7" t="n">
        <v>46508</v>
      </c>
      <c r="B22" t="inlineStr">
        <is>
          <t>Roseville</t>
        </is>
      </c>
      <c r="C22" s="4" t="n">
        <v>736.21</v>
      </c>
      <c r="D22" s="6" t="n">
        <v>63743.42928660826</v>
      </c>
      <c r="E22" s="3" t="n">
        <v>7.33</v>
      </c>
      <c r="F22" s="3" t="n">
        <v>0</v>
      </c>
      <c r="G22" s="6">
        <f>ROUND(C22*D22*(1+fringe_rate)/12,2)</f>
        <v/>
      </c>
      <c r="H22" s="6">
        <f>ROUND(G22*ot_fraction,2)</f>
        <v/>
      </c>
      <c r="I22" s="6">
        <f>ROUND(G22+H22,2)</f>
        <v/>
      </c>
    </row>
    <row r="23">
      <c r="A23" s="7" t="n">
        <v>46539</v>
      </c>
      <c r="B23" t="inlineStr">
        <is>
          <t>Roseville</t>
        </is>
      </c>
      <c r="C23" s="4" t="n">
        <v>728.96</v>
      </c>
      <c r="D23" s="6" t="n">
        <v>63743.42928660826</v>
      </c>
      <c r="E23" s="3" t="n">
        <v>7.25</v>
      </c>
      <c r="F23" s="3" t="n">
        <v>0</v>
      </c>
      <c r="G23" s="6">
        <f>ROUND(C23*D23*(1+fringe_rate)/12,2)</f>
        <v/>
      </c>
      <c r="H23" s="6">
        <f>ROUND(G23*ot_fraction,2)</f>
        <v/>
      </c>
      <c r="I23" s="6">
        <f>ROUND(G23+H23,2)</f>
        <v/>
      </c>
    </row>
    <row r="24">
      <c r="A24" s="7" t="n">
        <v>46569</v>
      </c>
      <c r="B24" t="inlineStr">
        <is>
          <t>Roseville</t>
        </is>
      </c>
      <c r="C24" s="4" t="n">
        <v>721.77</v>
      </c>
      <c r="D24" s="6" t="n">
        <v>63743.42928660826</v>
      </c>
      <c r="E24" s="3" t="n">
        <v>7.18</v>
      </c>
      <c r="F24" s="3" t="n">
        <v>0</v>
      </c>
      <c r="G24" s="6">
        <f>ROUND(C24*D24*(1+fringe_rate)/12,2)</f>
        <v/>
      </c>
      <c r="H24" s="6">
        <f>ROUND(G24*ot_fraction,2)</f>
        <v/>
      </c>
      <c r="I24" s="6">
        <f>ROUND(G24+H24,2)</f>
        <v/>
      </c>
    </row>
    <row r="25">
      <c r="A25" s="7" t="n">
        <v>46600</v>
      </c>
      <c r="B25" t="inlineStr">
        <is>
          <t>Roseville</t>
        </is>
      </c>
      <c r="C25" s="4" t="n">
        <v>714.66</v>
      </c>
      <c r="D25" s="6" t="n">
        <v>63743.42928660826</v>
      </c>
      <c r="E25" s="3" t="n">
        <v>7.11</v>
      </c>
      <c r="F25" s="3" t="n">
        <v>0</v>
      </c>
      <c r="G25" s="6">
        <f>ROUND(C25*D25*(1+fringe_rate)/12,2)</f>
        <v/>
      </c>
      <c r="H25" s="6">
        <f>ROUND(G25*ot_fraction,2)</f>
        <v/>
      </c>
      <c r="I25" s="6">
        <f>ROUND(G25+H25,2)</f>
        <v/>
      </c>
    </row>
    <row r="26">
      <c r="A26" s="7" t="n">
        <v>46266</v>
      </c>
      <c r="B26" t="inlineStr">
        <is>
          <t>Seremban</t>
        </is>
      </c>
      <c r="C26" s="4" t="n">
        <v>715.3</v>
      </c>
      <c r="D26" s="6" t="n">
        <v>61235.21320495186</v>
      </c>
      <c r="E26" s="3" t="n">
        <v>11.7</v>
      </c>
      <c r="F26" s="3" t="n">
        <v>0</v>
      </c>
      <c r="G26" s="6">
        <f>ROUND(C26*D26*(1+fringe_rate)/12,2)</f>
        <v/>
      </c>
      <c r="H26" s="6">
        <f>ROUND(G26*ot_fraction,2)</f>
        <v/>
      </c>
      <c r="I26" s="6">
        <f>ROUND(G26+H26,2)</f>
        <v/>
      </c>
    </row>
    <row r="27">
      <c r="A27" s="7" t="n">
        <v>46296</v>
      </c>
      <c r="B27" t="inlineStr">
        <is>
          <t>Seremban</t>
        </is>
      </c>
      <c r="C27" s="4" t="n">
        <v>703.79</v>
      </c>
      <c r="D27" s="6" t="n">
        <v>61235.21320495186</v>
      </c>
      <c r="E27" s="3" t="n">
        <v>11.51</v>
      </c>
      <c r="F27" s="3" t="n">
        <v>0</v>
      </c>
      <c r="G27" s="6">
        <f>ROUND(C27*D27*(1+fringe_rate)/12,2)</f>
        <v/>
      </c>
      <c r="H27" s="6">
        <f>ROUND(G27*ot_fraction,2)</f>
        <v/>
      </c>
      <c r="I27" s="6">
        <f>ROUND(G27+H27,2)</f>
        <v/>
      </c>
    </row>
    <row r="28">
      <c r="A28" s="7" t="n">
        <v>46327</v>
      </c>
      <c r="B28" t="inlineStr">
        <is>
          <t>Seremban</t>
        </is>
      </c>
      <c r="C28" s="4" t="n">
        <v>693.35</v>
      </c>
      <c r="D28" s="6" t="n">
        <v>61235.21320495186</v>
      </c>
      <c r="E28" s="3" t="n">
        <v>11.33</v>
      </c>
      <c r="F28" s="3" t="n">
        <v>0.89</v>
      </c>
      <c r="G28" s="6">
        <f>ROUND(C28*D28*(1+fringe_rate)/12,2)</f>
        <v/>
      </c>
      <c r="H28" s="6">
        <f>ROUND(G28*ot_fraction,2)</f>
        <v/>
      </c>
      <c r="I28" s="6">
        <f>ROUND(G28+H28,2)</f>
        <v/>
      </c>
    </row>
    <row r="29">
      <c r="A29" s="7" t="n">
        <v>46357</v>
      </c>
      <c r="B29" t="inlineStr">
        <is>
          <t>Seremban</t>
        </is>
      </c>
      <c r="C29" s="4" t="n">
        <v>682.1900000000001</v>
      </c>
      <c r="D29" s="6" t="n">
        <v>61235.21320495186</v>
      </c>
      <c r="E29" s="3" t="n">
        <v>11.16</v>
      </c>
      <c r="F29" s="3" t="n">
        <v>0</v>
      </c>
      <c r="G29" s="6">
        <f>ROUND(C29*D29*(1+fringe_rate)/12,2)</f>
        <v/>
      </c>
      <c r="H29" s="6">
        <f>ROUND(G29*ot_fraction,2)</f>
        <v/>
      </c>
      <c r="I29" s="6">
        <f>ROUND(G29+H29,2)</f>
        <v/>
      </c>
    </row>
    <row r="30">
      <c r="A30" s="7" t="n">
        <v>46388</v>
      </c>
      <c r="B30" t="inlineStr">
        <is>
          <t>Seremban</t>
        </is>
      </c>
      <c r="C30" s="4" t="n">
        <v>671.21</v>
      </c>
      <c r="D30" s="6" t="n">
        <v>61235.21320495186</v>
      </c>
      <c r="E30" s="3" t="n">
        <v>10.98</v>
      </c>
      <c r="F30" s="3" t="n">
        <v>0</v>
      </c>
      <c r="G30" s="6">
        <f>ROUND(C30*D30*(1+fringe_rate)/12,2)</f>
        <v/>
      </c>
      <c r="H30" s="6">
        <f>ROUND(G30*ot_fraction,2)</f>
        <v/>
      </c>
      <c r="I30" s="6">
        <f>ROUND(G30+H30,2)</f>
        <v/>
      </c>
    </row>
    <row r="31">
      <c r="A31" s="7" t="n">
        <v>46419</v>
      </c>
      <c r="B31" t="inlineStr">
        <is>
          <t>Seremban</t>
        </is>
      </c>
      <c r="C31" s="4" t="n">
        <v>660.41</v>
      </c>
      <c r="D31" s="6" t="n">
        <v>61235.21320495186</v>
      </c>
      <c r="E31" s="3" t="n">
        <v>10.8</v>
      </c>
      <c r="F31" s="3" t="n">
        <v>0</v>
      </c>
      <c r="G31" s="6">
        <f>ROUND(C31*D31*(1+fringe_rate)/12,2)</f>
        <v/>
      </c>
      <c r="H31" s="6">
        <f>ROUND(G31*ot_fraction,2)</f>
        <v/>
      </c>
      <c r="I31" s="6">
        <f>ROUND(G31+H31,2)</f>
        <v/>
      </c>
    </row>
    <row r="32">
      <c r="A32" s="7" t="n">
        <v>46447</v>
      </c>
      <c r="B32" t="inlineStr">
        <is>
          <t>Seremban</t>
        </is>
      </c>
      <c r="C32" s="4" t="n">
        <v>649.78</v>
      </c>
      <c r="D32" s="6" t="n">
        <v>61235.21320495186</v>
      </c>
      <c r="E32" s="3" t="n">
        <v>10.63</v>
      </c>
      <c r="F32" s="3" t="n">
        <v>0</v>
      </c>
      <c r="G32" s="6">
        <f>ROUND(C32*D32*(1+fringe_rate)/12,2)</f>
        <v/>
      </c>
      <c r="H32" s="6">
        <f>ROUND(G32*ot_fraction,2)</f>
        <v/>
      </c>
      <c r="I32" s="6">
        <f>ROUND(G32+H32,2)</f>
        <v/>
      </c>
    </row>
    <row r="33">
      <c r="A33" s="7" t="n">
        <v>46478</v>
      </c>
      <c r="B33" t="inlineStr">
        <is>
          <t>Seremban</t>
        </is>
      </c>
      <c r="C33" s="4" t="n">
        <v>639.3200000000001</v>
      </c>
      <c r="D33" s="6" t="n">
        <v>61235.21320495186</v>
      </c>
      <c r="E33" s="3" t="n">
        <v>10.46</v>
      </c>
      <c r="F33" s="3" t="n">
        <v>0</v>
      </c>
      <c r="G33" s="6">
        <f>ROUND(C33*D33*(1+fringe_rate)/12,2)</f>
        <v/>
      </c>
      <c r="H33" s="6">
        <f>ROUND(G33*ot_fraction,2)</f>
        <v/>
      </c>
      <c r="I33" s="6">
        <f>ROUND(G33+H33,2)</f>
        <v/>
      </c>
    </row>
    <row r="34">
      <c r="A34" s="7" t="n">
        <v>46508</v>
      </c>
      <c r="B34" t="inlineStr">
        <is>
          <t>Seremban</t>
        </is>
      </c>
      <c r="C34" s="4" t="n">
        <v>629.03</v>
      </c>
      <c r="D34" s="6" t="n">
        <v>61235.21320495186</v>
      </c>
      <c r="E34" s="3" t="n">
        <v>10.29</v>
      </c>
      <c r="F34" s="3" t="n">
        <v>0</v>
      </c>
      <c r="G34" s="6">
        <f>ROUND(C34*D34*(1+fringe_rate)/12,2)</f>
        <v/>
      </c>
      <c r="H34" s="6">
        <f>ROUND(G34*ot_fraction,2)</f>
        <v/>
      </c>
      <c r="I34" s="6">
        <f>ROUND(G34+H34,2)</f>
        <v/>
      </c>
    </row>
    <row r="35">
      <c r="A35" s="7" t="n">
        <v>46539</v>
      </c>
      <c r="B35" t="inlineStr">
        <is>
          <t>Seremban</t>
        </is>
      </c>
      <c r="C35" s="4" t="n">
        <v>618.91</v>
      </c>
      <c r="D35" s="6" t="n">
        <v>61235.21320495186</v>
      </c>
      <c r="E35" s="3" t="n">
        <v>10.12</v>
      </c>
      <c r="F35" s="3" t="n">
        <v>0</v>
      </c>
      <c r="G35" s="6">
        <f>ROUND(C35*D35*(1+fringe_rate)/12,2)</f>
        <v/>
      </c>
      <c r="H35" s="6">
        <f>ROUND(G35*ot_fraction,2)</f>
        <v/>
      </c>
      <c r="I35" s="6">
        <f>ROUND(G35+H35,2)</f>
        <v/>
      </c>
    </row>
    <row r="36">
      <c r="A36" s="7" t="n">
        <v>46569</v>
      </c>
      <c r="B36" t="inlineStr">
        <is>
          <t>Seremban</t>
        </is>
      </c>
      <c r="C36" s="4" t="n">
        <v>608.95</v>
      </c>
      <c r="D36" s="6" t="n">
        <v>61235.21320495186</v>
      </c>
      <c r="E36" s="3" t="n">
        <v>9.960000000000001</v>
      </c>
      <c r="F36" s="3" t="n">
        <v>0</v>
      </c>
      <c r="G36" s="6">
        <f>ROUND(C36*D36*(1+fringe_rate)/12,2)</f>
        <v/>
      </c>
      <c r="H36" s="6">
        <f>ROUND(G36*ot_fraction,2)</f>
        <v/>
      </c>
      <c r="I36" s="6">
        <f>ROUND(G36+H36,2)</f>
        <v/>
      </c>
    </row>
    <row r="37">
      <c r="A37" s="7" t="n">
        <v>46600</v>
      </c>
      <c r="B37" t="inlineStr">
        <is>
          <t>Seremban</t>
        </is>
      </c>
      <c r="C37" s="4" t="n">
        <v>599.15</v>
      </c>
      <c r="D37" s="6" t="n">
        <v>61235.21320495186</v>
      </c>
      <c r="E37" s="3" t="n">
        <v>9.800000000000001</v>
      </c>
      <c r="F37" s="3" t="n">
        <v>0</v>
      </c>
      <c r="G37" s="6">
        <f>ROUND(C37*D37*(1+fringe_rate)/12,2)</f>
        <v/>
      </c>
      <c r="H37" s="6">
        <f>ROUND(G37*ot_fraction,2)</f>
        <v/>
      </c>
      <c r="I37" s="6">
        <f>ROUND(G37+H37,2)</f>
        <v/>
      </c>
    </row>
    <row r="38">
      <c r="A38" s="7" t="n">
        <v>46266</v>
      </c>
      <c r="B38" t="inlineStr">
        <is>
          <t>Brno</t>
        </is>
      </c>
      <c r="C38" s="4" t="n">
        <v>413.31</v>
      </c>
      <c r="D38" s="6" t="n">
        <v>64047.61904761905</v>
      </c>
      <c r="E38" s="3" t="n">
        <v>6.69</v>
      </c>
      <c r="F38" s="3" t="n">
        <v>0</v>
      </c>
      <c r="G38" s="6">
        <f>ROUND(C38*D38*(1+fringe_rate)/12,2)</f>
        <v/>
      </c>
      <c r="H38" s="6">
        <f>ROUND(G38*ot_fraction,2)</f>
        <v/>
      </c>
      <c r="I38" s="6">
        <f>ROUND(G38+H38,2)</f>
        <v/>
      </c>
    </row>
    <row r="39">
      <c r="A39" s="7" t="n">
        <v>46296</v>
      </c>
      <c r="B39" t="inlineStr">
        <is>
          <t>Brno</t>
        </is>
      </c>
      <c r="C39" s="4" t="n">
        <v>409.47</v>
      </c>
      <c r="D39" s="6" t="n">
        <v>64047.61904761905</v>
      </c>
      <c r="E39" s="3" t="n">
        <v>6.58</v>
      </c>
      <c r="F39" s="3" t="n">
        <v>2.74</v>
      </c>
      <c r="G39" s="6">
        <f>ROUND(C39*D39*(1+fringe_rate)/12,2)</f>
        <v/>
      </c>
      <c r="H39" s="6">
        <f>ROUND(G39*ot_fraction,2)</f>
        <v/>
      </c>
      <c r="I39" s="6">
        <f>ROUND(G39+H39,2)</f>
        <v/>
      </c>
    </row>
    <row r="40">
      <c r="A40" s="7" t="n">
        <v>46327</v>
      </c>
      <c r="B40" t="inlineStr">
        <is>
          <t>Brno</t>
        </is>
      </c>
      <c r="C40" s="4" t="n">
        <v>402.95</v>
      </c>
      <c r="D40" s="6" t="n">
        <v>64047.61904761905</v>
      </c>
      <c r="E40" s="3" t="n">
        <v>6.52</v>
      </c>
      <c r="F40" s="3" t="n">
        <v>0</v>
      </c>
      <c r="G40" s="6">
        <f>ROUND(C40*D40*(1+fringe_rate)/12,2)</f>
        <v/>
      </c>
      <c r="H40" s="6">
        <f>ROUND(G40*ot_fraction,2)</f>
        <v/>
      </c>
      <c r="I40" s="6">
        <f>ROUND(G40+H40,2)</f>
        <v/>
      </c>
    </row>
    <row r="41">
      <c r="A41" s="7" t="n">
        <v>46357</v>
      </c>
      <c r="B41" t="inlineStr">
        <is>
          <t>Brno</t>
        </is>
      </c>
      <c r="C41" s="4" t="n">
        <v>396.53</v>
      </c>
      <c r="D41" s="6" t="n">
        <v>64047.61904761905</v>
      </c>
      <c r="E41" s="3" t="n">
        <v>6.42</v>
      </c>
      <c r="F41" s="3" t="n">
        <v>0</v>
      </c>
      <c r="G41" s="6">
        <f>ROUND(C41*D41*(1+fringe_rate)/12,2)</f>
        <v/>
      </c>
      <c r="H41" s="6">
        <f>ROUND(G41*ot_fraction,2)</f>
        <v/>
      </c>
      <c r="I41" s="6">
        <f>ROUND(G41+H41,2)</f>
        <v/>
      </c>
    </row>
    <row r="42">
      <c r="A42" s="7" t="n">
        <v>46388</v>
      </c>
      <c r="B42" t="inlineStr">
        <is>
          <t>Brno</t>
        </is>
      </c>
      <c r="C42" s="4" t="n">
        <v>390.22</v>
      </c>
      <c r="D42" s="6" t="n">
        <v>64047.61904761905</v>
      </c>
      <c r="E42" s="3" t="n">
        <v>6.31</v>
      </c>
      <c r="F42" s="3" t="n">
        <v>0</v>
      </c>
      <c r="G42" s="6">
        <f>ROUND(C42*D42*(1+fringe_rate)/12,2)</f>
        <v/>
      </c>
      <c r="H42" s="6">
        <f>ROUND(G42*ot_fraction,2)</f>
        <v/>
      </c>
      <c r="I42" s="6">
        <f>ROUND(G42+H42,2)</f>
        <v/>
      </c>
    </row>
    <row r="43">
      <c r="A43" s="7" t="n">
        <v>46419</v>
      </c>
      <c r="B43" t="inlineStr">
        <is>
          <t>Brno</t>
        </is>
      </c>
      <c r="C43" s="4" t="n">
        <v>384.01</v>
      </c>
      <c r="D43" s="6" t="n">
        <v>64047.61904761905</v>
      </c>
      <c r="E43" s="3" t="n">
        <v>6.21</v>
      </c>
      <c r="F43" s="3" t="n">
        <v>0</v>
      </c>
      <c r="G43" s="6">
        <f>ROUND(C43*D43*(1+fringe_rate)/12,2)</f>
        <v/>
      </c>
      <c r="H43" s="6">
        <f>ROUND(G43*ot_fraction,2)</f>
        <v/>
      </c>
      <c r="I43" s="6">
        <f>ROUND(G43+H43,2)</f>
        <v/>
      </c>
    </row>
    <row r="44">
      <c r="A44" s="7" t="n">
        <v>46447</v>
      </c>
      <c r="B44" t="inlineStr">
        <is>
          <t>Brno</t>
        </is>
      </c>
      <c r="C44" s="4" t="n">
        <v>377.89</v>
      </c>
      <c r="D44" s="6" t="n">
        <v>64047.61904761905</v>
      </c>
      <c r="E44" s="3" t="n">
        <v>6.11</v>
      </c>
      <c r="F44" s="3" t="n">
        <v>0</v>
      </c>
      <c r="G44" s="6">
        <f>ROUND(C44*D44*(1+fringe_rate)/12,2)</f>
        <v/>
      </c>
      <c r="H44" s="6">
        <f>ROUND(G44*ot_fraction,2)</f>
        <v/>
      </c>
      <c r="I44" s="6">
        <f>ROUND(G44+H44,2)</f>
        <v/>
      </c>
    </row>
    <row r="45">
      <c r="A45" s="7" t="n">
        <v>46478</v>
      </c>
      <c r="B45" t="inlineStr">
        <is>
          <t>Brno</t>
        </is>
      </c>
      <c r="C45" s="4" t="n">
        <v>371.88</v>
      </c>
      <c r="D45" s="6" t="n">
        <v>64047.61904761905</v>
      </c>
      <c r="E45" s="3" t="n">
        <v>6.02</v>
      </c>
      <c r="F45" s="3" t="n">
        <v>0</v>
      </c>
      <c r="G45" s="6">
        <f>ROUND(C45*D45*(1+fringe_rate)/12,2)</f>
        <v/>
      </c>
      <c r="H45" s="6">
        <f>ROUND(G45*ot_fraction,2)</f>
        <v/>
      </c>
      <c r="I45" s="6">
        <f>ROUND(G45+H45,2)</f>
        <v/>
      </c>
    </row>
    <row r="46">
      <c r="A46" s="7" t="n">
        <v>46508</v>
      </c>
      <c r="B46" t="inlineStr">
        <is>
          <t>Brno</t>
        </is>
      </c>
      <c r="C46" s="4" t="n">
        <v>365.95</v>
      </c>
      <c r="D46" s="6" t="n">
        <v>64047.61904761905</v>
      </c>
      <c r="E46" s="3" t="n">
        <v>5.92</v>
      </c>
      <c r="F46" s="3" t="n">
        <v>0</v>
      </c>
      <c r="G46" s="6">
        <f>ROUND(C46*D46*(1+fringe_rate)/12,2)</f>
        <v/>
      </c>
      <c r="H46" s="6">
        <f>ROUND(G46*ot_fraction,2)</f>
        <v/>
      </c>
      <c r="I46" s="6">
        <f>ROUND(G46+H46,2)</f>
        <v/>
      </c>
    </row>
    <row r="47">
      <c r="A47" s="7" t="n">
        <v>46539</v>
      </c>
      <c r="B47" t="inlineStr">
        <is>
          <t>Brno</t>
        </is>
      </c>
      <c r="C47" s="4" t="n">
        <v>360.13</v>
      </c>
      <c r="D47" s="6" t="n">
        <v>64047.61904761905</v>
      </c>
      <c r="E47" s="3" t="n">
        <v>5.83</v>
      </c>
      <c r="F47" s="3" t="n">
        <v>0</v>
      </c>
      <c r="G47" s="6">
        <f>ROUND(C47*D47*(1+fringe_rate)/12,2)</f>
        <v/>
      </c>
      <c r="H47" s="6">
        <f>ROUND(G47*ot_fraction,2)</f>
        <v/>
      </c>
      <c r="I47" s="6">
        <f>ROUND(G47+H47,2)</f>
        <v/>
      </c>
    </row>
    <row r="48">
      <c r="A48" s="7" t="n">
        <v>46569</v>
      </c>
      <c r="B48" t="inlineStr">
        <is>
          <t>Brno</t>
        </is>
      </c>
      <c r="C48" s="4" t="n">
        <v>354.39</v>
      </c>
      <c r="D48" s="6" t="n">
        <v>64047.61904761905</v>
      </c>
      <c r="E48" s="3" t="n">
        <v>5.73</v>
      </c>
      <c r="F48" s="3" t="n">
        <v>0</v>
      </c>
      <c r="G48" s="6">
        <f>ROUND(C48*D48*(1+fringe_rate)/12,2)</f>
        <v/>
      </c>
      <c r="H48" s="6">
        <f>ROUND(G48*ot_fraction,2)</f>
        <v/>
      </c>
      <c r="I48" s="6">
        <f>ROUND(G48+H48,2)</f>
        <v/>
      </c>
    </row>
    <row r="49">
      <c r="A49" s="7" t="n">
        <v>46600</v>
      </c>
      <c r="B49" t="inlineStr">
        <is>
          <t>Brno</t>
        </is>
      </c>
      <c r="C49" s="4" t="n">
        <v>348.75</v>
      </c>
      <c r="D49" s="6" t="n">
        <v>64047.61904761905</v>
      </c>
      <c r="E49" s="3" t="n">
        <v>5.64</v>
      </c>
      <c r="F49" s="3" t="n">
        <v>0</v>
      </c>
      <c r="G49" s="6">
        <f>ROUND(C49*D49*(1+fringe_rate)/12,2)</f>
        <v/>
      </c>
      <c r="H49" s="6">
        <f>ROUND(G49*ot_fraction,2)</f>
        <v/>
      </c>
      <c r="I49" s="6">
        <f>ROUND(G49+H49,2)</f>
        <v/>
      </c>
    </row>
  </sheetData>
  <autoFilter ref="A1:I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  <col width="14" customWidth="1" min="5" max="5"/>
    <col width="11" customWidth="1" min="6" max="6"/>
    <col width="11" customWidth="1" min="7" max="7"/>
    <col width="12" customWidth="1" min="8" max="8"/>
    <col width="11" customWidth="1" min="9" max="9"/>
    <col width="14" customWidth="1" min="10" max="10"/>
    <col width="12" customWidth="1" min="11" max="11"/>
    <col width="12" customWidth="1" min="12" max="12"/>
    <col width="10" customWidth="1" min="13" max="13"/>
    <col width="14" customWidth="1" min="14" max="14"/>
    <col width="12" customWidth="1" min="15" max="15"/>
    <col width="12" customWidth="1" min="16" max="16"/>
    <col width="10" customWidth="1" min="17" max="17"/>
    <col width="12" customWidth="1" min="18" max="18"/>
    <col width="12" customWidth="1" min="19" max="19"/>
    <col width="10" customWidth="1" min="20" max="20"/>
    <col width="13" customWidth="1" min="21" max="21"/>
    <col width="14" customWidth="1" min="22" max="22"/>
    <col width="12" customWidth="1" min="23" max="23"/>
  </cols>
  <sheetData>
    <row r="1">
      <c r="A1" s="1" t="inlineStr">
        <is>
          <t>Scenario Model (live formulas driven by Assumptions named ranges)</t>
        </is>
      </c>
    </row>
    <row r="3">
      <c r="A3" t="inlineStr">
        <is>
          <t>Current active headcount (total)</t>
        </is>
      </c>
      <c r="B3" s="4" t="n">
        <v>2817</v>
      </c>
    </row>
    <row r="5">
      <c r="A5" s="2" t="inlineStr">
        <is>
          <t>Month</t>
        </is>
      </c>
      <c r="B5" s="2" t="inlineStr">
        <is>
          <t>Baseline HC</t>
        </is>
      </c>
      <c r="C5" s="2" t="inlineStr">
        <is>
          <t>Baseline Attrition</t>
        </is>
      </c>
      <c r="D5" s="2" t="inlineStr">
        <is>
          <t>Baseline Fills</t>
        </is>
      </c>
      <c r="E5" s="2" t="inlineStr">
        <is>
          <t>Blended Salary</t>
        </is>
      </c>
      <c r="F5" s="2" t="inlineStr">
        <is>
          <t>Spike HC</t>
        </is>
      </c>
      <c r="G5" s="2" t="inlineStr">
        <is>
          <t>Freeze HC</t>
        </is>
      </c>
      <c r="H5" s="2" t="inlineStr">
        <is>
          <t>OT Shift HC</t>
        </is>
      </c>
      <c r="I5" s="2" t="inlineStr">
        <is>
          <t>Accel HC</t>
        </is>
      </c>
      <c r="J5" s="2" t="inlineStr">
        <is>
          <t>Baseline Labor</t>
        </is>
      </c>
      <c r="K5" s="2" t="inlineStr">
        <is>
          <t>Baseline OT</t>
        </is>
      </c>
      <c r="L5" s="2" t="inlineStr">
        <is>
          <t>Spike Labor</t>
        </is>
      </c>
      <c r="M5" s="2" t="inlineStr">
        <is>
          <t>Spike OT</t>
        </is>
      </c>
      <c r="N5" s="2" t="inlineStr">
        <is>
          <t>OT Shift OT Cost</t>
        </is>
      </c>
      <c r="O5" s="2" t="inlineStr">
        <is>
          <t>OT Shift Labor</t>
        </is>
      </c>
      <c r="P5" s="2" t="inlineStr">
        <is>
          <t>Accel Labor</t>
        </is>
      </c>
      <c r="Q5" s="2" t="inlineStr">
        <is>
          <t>Accel OT</t>
        </is>
      </c>
      <c r="R5" s="2" t="inlineStr">
        <is>
          <t>Accel Other</t>
        </is>
      </c>
      <c r="S5" s="2" t="inlineStr">
        <is>
          <t>Freeze Labor</t>
        </is>
      </c>
      <c r="T5" s="2" t="inlineStr">
        <is>
          <t>Freeze OT</t>
        </is>
      </c>
      <c r="U5" s="2" t="inlineStr">
        <is>
          <t>Spike+Freeze HC</t>
        </is>
      </c>
      <c r="V5" s="2" t="inlineStr">
        <is>
          <t>Spike+Freeze Labor</t>
        </is>
      </c>
      <c r="W5" s="2" t="inlineStr">
        <is>
          <t>Spike+Freeze OT</t>
        </is>
      </c>
    </row>
    <row r="6">
      <c r="A6" s="7" t="n">
        <v>46266</v>
      </c>
      <c r="B6" s="4" t="n">
        <v>2780.07</v>
      </c>
      <c r="C6" s="3" t="n">
        <v>36.93</v>
      </c>
      <c r="D6" s="3" t="n">
        <v>0</v>
      </c>
      <c r="E6" s="6" t="n">
        <v>62750.03109184301</v>
      </c>
      <c r="F6" s="4">
        <f>$B$3-C6*IF(1&lt;=spike_months,attrition_multiplier,1)+D6</f>
        <v/>
      </c>
      <c r="G6" s="4">
        <f>$B$3-C6+IF(1&gt;freeze_start_month,0,D6)</f>
        <v/>
      </c>
      <c r="H6" s="4">
        <f>$B$3-C6</f>
        <v/>
      </c>
      <c r="I6" s="4">
        <f>$B$3-C6+D6+extra_reqs_per_month*sites_count</f>
        <v/>
      </c>
      <c r="J6" s="6">
        <f>ROUND(B6*E6*(1+fringe_rate)/12,2)</f>
        <v/>
      </c>
      <c r="K6" s="6">
        <f>ROUND(J6*ot_fraction,2)</f>
        <v/>
      </c>
      <c r="L6" s="6">
        <f>ROUND(F6*E6*(1+fringe_rate)/12,2)</f>
        <v/>
      </c>
      <c r="M6" s="6">
        <f>ROUND(L6*ot_fraction,2)</f>
        <v/>
      </c>
      <c r="N6" s="6">
        <f>ROUND(K6+MIN(MAX(B6-H6,0)*ot_hours_per_head,H6*max_ot_hours)*E6/2080*ot_premium,2)</f>
        <v/>
      </c>
      <c r="O6" s="6">
        <f>ROUND(H6*E6*(1+fringe_rate)/12,2)</f>
        <v/>
      </c>
      <c r="P6" s="6">
        <f>ROUND(I6*E6*(1+fringe_rate)/12,2)</f>
        <v/>
      </c>
      <c r="Q6" s="6">
        <f>ROUND(P6*ot_fraction,2)</f>
        <v/>
      </c>
      <c r="R6" s="6">
        <f>ROUND(extra_reqs_per_month*sites_count*hire_cost,2)</f>
        <v/>
      </c>
      <c r="S6" s="6">
        <f>ROUND(G6*E6*(1+fringe_rate)/12,2)</f>
        <v/>
      </c>
      <c r="T6" s="6">
        <f>ROUND(S6*ot_fraction,2)</f>
        <v/>
      </c>
      <c r="U6" s="4">
        <f>$B$3-C6*IF(1&lt;=spike_months,attrition_multiplier,1)+IF(1&gt;freeze_start_month,0,D6)</f>
        <v/>
      </c>
      <c r="V6" s="6">
        <f>ROUND(U6*E6*(1+fringe_rate)/12,2)</f>
        <v/>
      </c>
      <c r="W6" s="6">
        <f>ROUND(V6*ot_fraction,2)</f>
        <v/>
      </c>
    </row>
    <row r="7">
      <c r="A7" s="7" t="n">
        <v>46296</v>
      </c>
      <c r="B7" s="4" t="n">
        <v>2755.87</v>
      </c>
      <c r="C7" s="3" t="n">
        <v>36.43</v>
      </c>
      <c r="D7" s="3" t="n">
        <v>12.24</v>
      </c>
      <c r="E7" s="6" t="n">
        <v>62754.50656235599</v>
      </c>
      <c r="F7" s="4">
        <f>F6-C7*IF(2&lt;=spike_months,attrition_multiplier,1)+D7</f>
        <v/>
      </c>
      <c r="G7" s="4">
        <f>G6-C7+IF(2&gt;freeze_start_month,0,D7)</f>
        <v/>
      </c>
      <c r="H7" s="4">
        <f>H6-C7</f>
        <v/>
      </c>
      <c r="I7" s="4">
        <f>I6-C7+D7+extra_reqs_per_month*sites_count</f>
        <v/>
      </c>
      <c r="J7" s="6">
        <f>ROUND(B7*E7*(1+fringe_rate)/12,2)</f>
        <v/>
      </c>
      <c r="K7" s="6">
        <f>ROUND(J7*ot_fraction,2)</f>
        <v/>
      </c>
      <c r="L7" s="6">
        <f>ROUND(F7*E7*(1+fringe_rate)/12,2)</f>
        <v/>
      </c>
      <c r="M7" s="6">
        <f>ROUND(L7*ot_fraction,2)</f>
        <v/>
      </c>
      <c r="N7" s="6">
        <f>ROUND(K7+MIN(MAX(B7-H7,0)*ot_hours_per_head,H7*max_ot_hours)*E7/2080*ot_premium,2)</f>
        <v/>
      </c>
      <c r="O7" s="6">
        <f>ROUND(H7*E7*(1+fringe_rate)/12,2)</f>
        <v/>
      </c>
      <c r="P7" s="6">
        <f>ROUND(I7*E7*(1+fringe_rate)/12,2)</f>
        <v/>
      </c>
      <c r="Q7" s="6">
        <f>ROUND(P7*ot_fraction,2)</f>
        <v/>
      </c>
      <c r="R7" s="6">
        <f>ROUND(extra_reqs_per_month*sites_count*hire_cost,2)</f>
        <v/>
      </c>
      <c r="S7" s="6">
        <f>ROUND(G7*E7*(1+fringe_rate)/12,2)</f>
        <v/>
      </c>
      <c r="T7" s="6">
        <f>ROUND(S7*ot_fraction,2)</f>
        <v/>
      </c>
      <c r="U7" s="4">
        <f>U6-C7*IF(2&lt;=spike_months,attrition_multiplier,1)+IF(2&gt;freeze_start_month,0,D7)</f>
        <v/>
      </c>
      <c r="V7" s="6">
        <f>ROUND(U7*E7*(1+fringe_rate)/12,2)</f>
        <v/>
      </c>
      <c r="W7" s="6">
        <f>ROUND(V7*ot_fraction,2)</f>
        <v/>
      </c>
    </row>
    <row r="8">
      <c r="A8" s="7" t="n">
        <v>46327</v>
      </c>
      <c r="B8" s="4" t="n">
        <v>2720.67</v>
      </c>
      <c r="C8" s="3" t="n">
        <v>36.09</v>
      </c>
      <c r="D8" s="3" t="n">
        <v>0.89</v>
      </c>
      <c r="E8" s="6" t="n">
        <v>62755.7527304855</v>
      </c>
      <c r="F8" s="4">
        <f>F7-C8*IF(3&lt;=spike_months,attrition_multiplier,1)+D8</f>
        <v/>
      </c>
      <c r="G8" s="4">
        <f>G7-C8+IF(3&gt;freeze_start_month,0,D8)</f>
        <v/>
      </c>
      <c r="H8" s="4">
        <f>H7-C8</f>
        <v/>
      </c>
      <c r="I8" s="4">
        <f>I7-C8+D8+extra_reqs_per_month*sites_count</f>
        <v/>
      </c>
      <c r="J8" s="6">
        <f>ROUND(B8*E8*(1+fringe_rate)/12,2)</f>
        <v/>
      </c>
      <c r="K8" s="6">
        <f>ROUND(J8*ot_fraction,2)</f>
        <v/>
      </c>
      <c r="L8" s="6">
        <f>ROUND(F8*E8*(1+fringe_rate)/12,2)</f>
        <v/>
      </c>
      <c r="M8" s="6">
        <f>ROUND(L8*ot_fraction,2)</f>
        <v/>
      </c>
      <c r="N8" s="6">
        <f>ROUND(K8+MIN(MAX(B8-H8,0)*ot_hours_per_head,H8*max_ot_hours)*E8/2080*ot_premium,2)</f>
        <v/>
      </c>
      <c r="O8" s="6">
        <f>ROUND(H8*E8*(1+fringe_rate)/12,2)</f>
        <v/>
      </c>
      <c r="P8" s="6">
        <f>ROUND(I8*E8*(1+fringe_rate)/12,2)</f>
        <v/>
      </c>
      <c r="Q8" s="6">
        <f>ROUND(P8*ot_fraction,2)</f>
        <v/>
      </c>
      <c r="R8" s="6">
        <f>ROUND(extra_reqs_per_month*sites_count*hire_cost,2)</f>
        <v/>
      </c>
      <c r="S8" s="6">
        <f>ROUND(G8*E8*(1+fringe_rate)/12,2)</f>
        <v/>
      </c>
      <c r="T8" s="6">
        <f>ROUND(S8*ot_fraction,2)</f>
        <v/>
      </c>
      <c r="U8" s="4">
        <f>U7-C8*IF(3&lt;=spike_months,attrition_multiplier,1)+IF(3&gt;freeze_start_month,0,D8)</f>
        <v/>
      </c>
      <c r="V8" s="6">
        <f>ROUND(U8*E8*(1+fringe_rate)/12,2)</f>
        <v/>
      </c>
      <c r="W8" s="6">
        <f>ROUND(V8*ot_fraction,2)</f>
        <v/>
      </c>
    </row>
    <row r="9">
      <c r="A9" s="7" t="n">
        <v>46357</v>
      </c>
      <c r="B9" s="4" t="n">
        <v>2685.06</v>
      </c>
      <c r="C9" s="3" t="n">
        <v>35.61</v>
      </c>
      <c r="D9" s="3" t="n">
        <v>0</v>
      </c>
      <c r="E9" s="6" t="n">
        <v>62757.33754552971</v>
      </c>
      <c r="F9" s="4">
        <f>F8-C9*IF(4&lt;=spike_months,attrition_multiplier,1)+D9</f>
        <v/>
      </c>
      <c r="G9" s="4">
        <f>G8-C9+IF(4&gt;freeze_start_month,0,D9)</f>
        <v/>
      </c>
      <c r="H9" s="4">
        <f>H8-C9</f>
        <v/>
      </c>
      <c r="I9" s="4">
        <f>I8-C9+D9+extra_reqs_per_month*sites_count</f>
        <v/>
      </c>
      <c r="J9" s="6">
        <f>ROUND(B9*E9*(1+fringe_rate)/12,2)</f>
        <v/>
      </c>
      <c r="K9" s="6">
        <f>ROUND(J9*ot_fraction,2)</f>
        <v/>
      </c>
      <c r="L9" s="6">
        <f>ROUND(F9*E9*(1+fringe_rate)/12,2)</f>
        <v/>
      </c>
      <c r="M9" s="6">
        <f>ROUND(L9*ot_fraction,2)</f>
        <v/>
      </c>
      <c r="N9" s="6">
        <f>ROUND(K9+MIN(MAX(B9-H9,0)*ot_hours_per_head,H9*max_ot_hours)*E9/2080*ot_premium,2)</f>
        <v/>
      </c>
      <c r="O9" s="6">
        <f>ROUND(H9*E9*(1+fringe_rate)/12,2)</f>
        <v/>
      </c>
      <c r="P9" s="6">
        <f>ROUND(I9*E9*(1+fringe_rate)/12,2)</f>
        <v/>
      </c>
      <c r="Q9" s="6">
        <f>ROUND(P9*ot_fraction,2)</f>
        <v/>
      </c>
      <c r="R9" s="6">
        <f>ROUND(extra_reqs_per_month*sites_count*hire_cost,2)</f>
        <v/>
      </c>
      <c r="S9" s="6">
        <f>ROUND(G9*E9*(1+fringe_rate)/12,2)</f>
        <v/>
      </c>
      <c r="T9" s="6">
        <f>ROUND(S9*ot_fraction,2)</f>
        <v/>
      </c>
      <c r="U9" s="4">
        <f>U8-C9*IF(4&lt;=spike_months,attrition_multiplier,1)+IF(4&gt;freeze_start_month,0,D9)</f>
        <v/>
      </c>
      <c r="V9" s="6">
        <f>ROUND(U9*E9*(1+fringe_rate)/12,2)</f>
        <v/>
      </c>
      <c r="W9" s="6">
        <f>ROUND(V9*ot_fraction,2)</f>
        <v/>
      </c>
    </row>
    <row r="10">
      <c r="A10" s="7" t="n">
        <v>46388</v>
      </c>
      <c r="B10" s="4" t="n">
        <v>2649.94</v>
      </c>
      <c r="C10" s="3" t="n">
        <v>35.11</v>
      </c>
      <c r="D10" s="3" t="n">
        <v>0</v>
      </c>
      <c r="E10" s="6" t="n">
        <v>62758.7894442893</v>
      </c>
      <c r="F10" s="4">
        <f>F9-C10*IF(5&lt;=spike_months,attrition_multiplier,1)+D10</f>
        <v/>
      </c>
      <c r="G10" s="4">
        <f>G9-C10+IF(5&gt;freeze_start_month,0,D10)</f>
        <v/>
      </c>
      <c r="H10" s="4">
        <f>H9-C10</f>
        <v/>
      </c>
      <c r="I10" s="4">
        <f>I9-C10+D10+extra_reqs_per_month*sites_count</f>
        <v/>
      </c>
      <c r="J10" s="6">
        <f>ROUND(B10*E10*(1+fringe_rate)/12,2)</f>
        <v/>
      </c>
      <c r="K10" s="6">
        <f>ROUND(J10*ot_fraction,2)</f>
        <v/>
      </c>
      <c r="L10" s="6">
        <f>ROUND(F10*E10*(1+fringe_rate)/12,2)</f>
        <v/>
      </c>
      <c r="M10" s="6">
        <f>ROUND(L10*ot_fraction,2)</f>
        <v/>
      </c>
      <c r="N10" s="6">
        <f>ROUND(K10+MIN(MAX(B10-H10,0)*ot_hours_per_head,H10*max_ot_hours)*E10/2080*ot_premium,2)</f>
        <v/>
      </c>
      <c r="O10" s="6">
        <f>ROUND(H10*E10*(1+fringe_rate)/12,2)</f>
        <v/>
      </c>
      <c r="P10" s="6">
        <f>ROUND(I10*E10*(1+fringe_rate)/12,2)</f>
        <v/>
      </c>
      <c r="Q10" s="6">
        <f>ROUND(P10*ot_fraction,2)</f>
        <v/>
      </c>
      <c r="R10" s="6">
        <f>ROUND(extra_reqs_per_month*sites_count*hire_cost,2)</f>
        <v/>
      </c>
      <c r="S10" s="6">
        <f>ROUND(G10*E10*(1+fringe_rate)/12,2)</f>
        <v/>
      </c>
      <c r="T10" s="6">
        <f>ROUND(S10*ot_fraction,2)</f>
        <v/>
      </c>
      <c r="U10" s="4">
        <f>U9-C10*IF(5&lt;=spike_months,attrition_multiplier,1)+IF(5&gt;freeze_start_month,0,D10)</f>
        <v/>
      </c>
      <c r="V10" s="6">
        <f>ROUND(U10*E10*(1+fringe_rate)/12,2)</f>
        <v/>
      </c>
      <c r="W10" s="6">
        <f>ROUND(V10*ot_fraction,2)</f>
        <v/>
      </c>
    </row>
    <row r="11">
      <c r="A11" s="7" t="n">
        <v>46419</v>
      </c>
      <c r="B11" s="4" t="n">
        <v>2615.3</v>
      </c>
      <c r="C11" s="3" t="n">
        <v>34.64</v>
      </c>
      <c r="D11" s="3" t="n">
        <v>0</v>
      </c>
      <c r="E11" s="6" t="n">
        <v>62760.17948466715</v>
      </c>
      <c r="F11" s="4">
        <f>F10-C11*IF(6&lt;=spike_months,attrition_multiplier,1)+D11</f>
        <v/>
      </c>
      <c r="G11" s="4">
        <f>G10-C11+IF(6&gt;freeze_start_month,0,D11)</f>
        <v/>
      </c>
      <c r="H11" s="4">
        <f>H10-C11</f>
        <v/>
      </c>
      <c r="I11" s="4">
        <f>I10-C11+D11+extra_reqs_per_month*sites_count</f>
        <v/>
      </c>
      <c r="J11" s="6">
        <f>ROUND(B11*E11*(1+fringe_rate)/12,2)</f>
        <v/>
      </c>
      <c r="K11" s="6">
        <f>ROUND(J11*ot_fraction,2)</f>
        <v/>
      </c>
      <c r="L11" s="6">
        <f>ROUND(F11*E11*(1+fringe_rate)/12,2)</f>
        <v/>
      </c>
      <c r="M11" s="6">
        <f>ROUND(L11*ot_fraction,2)</f>
        <v/>
      </c>
      <c r="N11" s="6">
        <f>ROUND(K11+MIN(MAX(B11-H11,0)*ot_hours_per_head,H11*max_ot_hours)*E11/2080*ot_premium,2)</f>
        <v/>
      </c>
      <c r="O11" s="6">
        <f>ROUND(H11*E11*(1+fringe_rate)/12,2)</f>
        <v/>
      </c>
      <c r="P11" s="6">
        <f>ROUND(I11*E11*(1+fringe_rate)/12,2)</f>
        <v/>
      </c>
      <c r="Q11" s="6">
        <f>ROUND(P11*ot_fraction,2)</f>
        <v/>
      </c>
      <c r="R11" s="6">
        <f>ROUND(extra_reqs_per_month*sites_count*hire_cost,2)</f>
        <v/>
      </c>
      <c r="S11" s="6">
        <f>ROUND(G11*E11*(1+fringe_rate)/12,2)</f>
        <v/>
      </c>
      <c r="T11" s="6">
        <f>ROUND(S11*ot_fraction,2)</f>
        <v/>
      </c>
      <c r="U11" s="4">
        <f>U10-C11*IF(6&lt;=spike_months,attrition_multiplier,1)+IF(6&gt;freeze_start_month,0,D11)</f>
        <v/>
      </c>
      <c r="V11" s="6">
        <f>ROUND(U11*E11*(1+fringe_rate)/12,2)</f>
        <v/>
      </c>
      <c r="W11" s="6">
        <f>ROUND(V11*ot_fraction,2)</f>
        <v/>
      </c>
    </row>
    <row r="12">
      <c r="A12" s="7" t="n">
        <v>46447</v>
      </c>
      <c r="B12" s="4" t="n">
        <v>2581.13</v>
      </c>
      <c r="C12" s="3" t="n">
        <v>34.17</v>
      </c>
      <c r="D12" s="3" t="n">
        <v>0</v>
      </c>
      <c r="E12" s="6" t="n">
        <v>62761.58498167469</v>
      </c>
      <c r="F12" s="4">
        <f>F11-C12*IF(7&lt;=spike_months,attrition_multiplier,1)+D12</f>
        <v/>
      </c>
      <c r="G12" s="4">
        <f>G11-C12+IF(7&gt;freeze_start_month,0,D12)</f>
        <v/>
      </c>
      <c r="H12" s="4">
        <f>H11-C12</f>
        <v/>
      </c>
      <c r="I12" s="4">
        <f>I11-C12+D12+extra_reqs_per_month*sites_count</f>
        <v/>
      </c>
      <c r="J12" s="6">
        <f>ROUND(B12*E12*(1+fringe_rate)/12,2)</f>
        <v/>
      </c>
      <c r="K12" s="6">
        <f>ROUND(J12*ot_fraction,2)</f>
        <v/>
      </c>
      <c r="L12" s="6">
        <f>ROUND(F12*E12*(1+fringe_rate)/12,2)</f>
        <v/>
      </c>
      <c r="M12" s="6">
        <f>ROUND(L12*ot_fraction,2)</f>
        <v/>
      </c>
      <c r="N12" s="6">
        <f>ROUND(K12+MIN(MAX(B12-H12,0)*ot_hours_per_head,H12*max_ot_hours)*E12/2080*ot_premium,2)</f>
        <v/>
      </c>
      <c r="O12" s="6">
        <f>ROUND(H12*E12*(1+fringe_rate)/12,2)</f>
        <v/>
      </c>
      <c r="P12" s="6">
        <f>ROUND(I12*E12*(1+fringe_rate)/12,2)</f>
        <v/>
      </c>
      <c r="Q12" s="6">
        <f>ROUND(P12*ot_fraction,2)</f>
        <v/>
      </c>
      <c r="R12" s="6">
        <f>ROUND(extra_reqs_per_month*sites_count*hire_cost,2)</f>
        <v/>
      </c>
      <c r="S12" s="6">
        <f>ROUND(G12*E12*(1+fringe_rate)/12,2)</f>
        <v/>
      </c>
      <c r="T12" s="6">
        <f>ROUND(S12*ot_fraction,2)</f>
        <v/>
      </c>
      <c r="U12" s="4">
        <f>U11-C12*IF(7&lt;=spike_months,attrition_multiplier,1)+IF(7&gt;freeze_start_month,0,D12)</f>
        <v/>
      </c>
      <c r="V12" s="6">
        <f>ROUND(U12*E12*(1+fringe_rate)/12,2)</f>
        <v/>
      </c>
      <c r="W12" s="6">
        <f>ROUND(V12*ot_fraction,2)</f>
        <v/>
      </c>
    </row>
    <row r="13">
      <c r="A13" s="7" t="n">
        <v>46478</v>
      </c>
      <c r="B13" s="4" t="n">
        <v>2547.42</v>
      </c>
      <c r="C13" s="3" t="n">
        <v>33.71</v>
      </c>
      <c r="D13" s="3" t="n">
        <v>0</v>
      </c>
      <c r="E13" s="6" t="n">
        <v>62763.08978790305</v>
      </c>
      <c r="F13" s="4">
        <f>F12-C13*IF(8&lt;=spike_months,attrition_multiplier,1)+D13</f>
        <v/>
      </c>
      <c r="G13" s="4">
        <f>G12-C13+IF(8&gt;freeze_start_month,0,D13)</f>
        <v/>
      </c>
      <c r="H13" s="4">
        <f>H12-C13</f>
        <v/>
      </c>
      <c r="I13" s="4">
        <f>I12-C13+D13+extra_reqs_per_month*sites_count</f>
        <v/>
      </c>
      <c r="J13" s="6">
        <f>ROUND(B13*E13*(1+fringe_rate)/12,2)</f>
        <v/>
      </c>
      <c r="K13" s="6">
        <f>ROUND(J13*ot_fraction,2)</f>
        <v/>
      </c>
      <c r="L13" s="6">
        <f>ROUND(F13*E13*(1+fringe_rate)/12,2)</f>
        <v/>
      </c>
      <c r="M13" s="6">
        <f>ROUND(L13*ot_fraction,2)</f>
        <v/>
      </c>
      <c r="N13" s="6">
        <f>ROUND(K13+MIN(MAX(B13-H13,0)*ot_hours_per_head,H13*max_ot_hours)*E13/2080*ot_premium,2)</f>
        <v/>
      </c>
      <c r="O13" s="6">
        <f>ROUND(H13*E13*(1+fringe_rate)/12,2)</f>
        <v/>
      </c>
      <c r="P13" s="6">
        <f>ROUND(I13*E13*(1+fringe_rate)/12,2)</f>
        <v/>
      </c>
      <c r="Q13" s="6">
        <f>ROUND(P13*ot_fraction,2)</f>
        <v/>
      </c>
      <c r="R13" s="6">
        <f>ROUND(extra_reqs_per_month*sites_count*hire_cost,2)</f>
        <v/>
      </c>
      <c r="S13" s="6">
        <f>ROUND(G13*E13*(1+fringe_rate)/12,2)</f>
        <v/>
      </c>
      <c r="T13" s="6">
        <f>ROUND(S13*ot_fraction,2)</f>
        <v/>
      </c>
      <c r="U13" s="4">
        <f>U12-C13*IF(8&lt;=spike_months,attrition_multiplier,1)+IF(8&gt;freeze_start_month,0,D13)</f>
        <v/>
      </c>
      <c r="V13" s="6">
        <f>ROUND(U13*E13*(1+fringe_rate)/12,2)</f>
        <v/>
      </c>
      <c r="W13" s="6">
        <f>ROUND(V13*ot_fraction,2)</f>
        <v/>
      </c>
    </row>
    <row r="14">
      <c r="A14" s="7" t="n">
        <v>46508</v>
      </c>
      <c r="B14" s="4" t="n">
        <v>2514.16</v>
      </c>
      <c r="C14" s="3" t="n">
        <v>33.25</v>
      </c>
      <c r="D14" s="3" t="n">
        <v>0</v>
      </c>
      <c r="E14" s="6" t="n">
        <v>62764.78458510994</v>
      </c>
      <c r="F14" s="4">
        <f>F13-C14*IF(9&lt;=spike_months,attrition_multiplier,1)+D14</f>
        <v/>
      </c>
      <c r="G14" s="4">
        <f>G13-C14+IF(9&gt;freeze_start_month,0,D14)</f>
        <v/>
      </c>
      <c r="H14" s="4">
        <f>H13-C14</f>
        <v/>
      </c>
      <c r="I14" s="4">
        <f>I13-C14+D14+extra_reqs_per_month*sites_count</f>
        <v/>
      </c>
      <c r="J14" s="6">
        <f>ROUND(B14*E14*(1+fringe_rate)/12,2)</f>
        <v/>
      </c>
      <c r="K14" s="6">
        <f>ROUND(J14*ot_fraction,2)</f>
        <v/>
      </c>
      <c r="L14" s="6">
        <f>ROUND(F14*E14*(1+fringe_rate)/12,2)</f>
        <v/>
      </c>
      <c r="M14" s="6">
        <f>ROUND(L14*ot_fraction,2)</f>
        <v/>
      </c>
      <c r="N14" s="6">
        <f>ROUND(K14+MIN(MAX(B14-H14,0)*ot_hours_per_head,H14*max_ot_hours)*E14/2080*ot_premium,2)</f>
        <v/>
      </c>
      <c r="O14" s="6">
        <f>ROUND(H14*E14*(1+fringe_rate)/12,2)</f>
        <v/>
      </c>
      <c r="P14" s="6">
        <f>ROUND(I14*E14*(1+fringe_rate)/12,2)</f>
        <v/>
      </c>
      <c r="Q14" s="6">
        <f>ROUND(P14*ot_fraction,2)</f>
        <v/>
      </c>
      <c r="R14" s="6">
        <f>ROUND(extra_reqs_per_month*sites_count*hire_cost,2)</f>
        <v/>
      </c>
      <c r="S14" s="6">
        <f>ROUND(G14*E14*(1+fringe_rate)/12,2)</f>
        <v/>
      </c>
      <c r="T14" s="6">
        <f>ROUND(S14*ot_fraction,2)</f>
        <v/>
      </c>
      <c r="U14" s="4">
        <f>U13-C14*IF(9&lt;=spike_months,attrition_multiplier,1)+IF(9&gt;freeze_start_month,0,D14)</f>
        <v/>
      </c>
      <c r="V14" s="6">
        <f>ROUND(U14*E14*(1+fringe_rate)/12,2)</f>
        <v/>
      </c>
      <c r="W14" s="6">
        <f>ROUND(V14*ot_fraction,2)</f>
        <v/>
      </c>
    </row>
    <row r="15">
      <c r="A15" s="7" t="n">
        <v>46539</v>
      </c>
      <c r="B15" s="4" t="n">
        <v>2481.37</v>
      </c>
      <c r="C15" s="3" t="n">
        <v>32.79</v>
      </c>
      <c r="D15" s="3" t="n">
        <v>0</v>
      </c>
      <c r="E15" s="6" t="n">
        <v>62766.00836936854</v>
      </c>
      <c r="F15" s="4">
        <f>F14-C15*IF(10&lt;=spike_months,attrition_multiplier,1)+D15</f>
        <v/>
      </c>
      <c r="G15" s="4">
        <f>G14-C15+IF(10&gt;freeze_start_month,0,D15)</f>
        <v/>
      </c>
      <c r="H15" s="4">
        <f>H14-C15</f>
        <v/>
      </c>
      <c r="I15" s="4">
        <f>I14-C15+D15+extra_reqs_per_month*sites_count</f>
        <v/>
      </c>
      <c r="J15" s="6">
        <f>ROUND(B15*E15*(1+fringe_rate)/12,2)</f>
        <v/>
      </c>
      <c r="K15" s="6">
        <f>ROUND(J15*ot_fraction,2)</f>
        <v/>
      </c>
      <c r="L15" s="6">
        <f>ROUND(F15*E15*(1+fringe_rate)/12,2)</f>
        <v/>
      </c>
      <c r="M15" s="6">
        <f>ROUND(L15*ot_fraction,2)</f>
        <v/>
      </c>
      <c r="N15" s="6">
        <f>ROUND(K15+MIN(MAX(B15-H15,0)*ot_hours_per_head,H15*max_ot_hours)*E15/2080*ot_premium,2)</f>
        <v/>
      </c>
      <c r="O15" s="6">
        <f>ROUND(H15*E15*(1+fringe_rate)/12,2)</f>
        <v/>
      </c>
      <c r="P15" s="6">
        <f>ROUND(I15*E15*(1+fringe_rate)/12,2)</f>
        <v/>
      </c>
      <c r="Q15" s="6">
        <f>ROUND(P15*ot_fraction,2)</f>
        <v/>
      </c>
      <c r="R15" s="6">
        <f>ROUND(extra_reqs_per_month*sites_count*hire_cost,2)</f>
        <v/>
      </c>
      <c r="S15" s="6">
        <f>ROUND(G15*E15*(1+fringe_rate)/12,2)</f>
        <v/>
      </c>
      <c r="T15" s="6">
        <f>ROUND(S15*ot_fraction,2)</f>
        <v/>
      </c>
      <c r="U15" s="4">
        <f>U14-C15*IF(10&lt;=spike_months,attrition_multiplier,1)+IF(10&gt;freeze_start_month,0,D15)</f>
        <v/>
      </c>
      <c r="V15" s="6">
        <f>ROUND(U15*E15*(1+fringe_rate)/12,2)</f>
        <v/>
      </c>
      <c r="W15" s="6">
        <f>ROUND(V15*ot_fraction,2)</f>
        <v/>
      </c>
    </row>
    <row r="16">
      <c r="A16" s="7" t="n">
        <v>46569</v>
      </c>
      <c r="B16" s="4" t="n">
        <v>2449.01</v>
      </c>
      <c r="C16" s="3" t="n">
        <v>32.35</v>
      </c>
      <c r="D16" s="3" t="n">
        <v>0</v>
      </c>
      <c r="E16" s="6" t="n">
        <v>62767.60507307033</v>
      </c>
      <c r="F16" s="4">
        <f>F15-C16*IF(11&lt;=spike_months,attrition_multiplier,1)+D16</f>
        <v/>
      </c>
      <c r="G16" s="4">
        <f>G15-C16+IF(11&gt;freeze_start_month,0,D16)</f>
        <v/>
      </c>
      <c r="H16" s="4">
        <f>H15-C16</f>
        <v/>
      </c>
      <c r="I16" s="4">
        <f>I15-C16+D16+extra_reqs_per_month*sites_count</f>
        <v/>
      </c>
      <c r="J16" s="6">
        <f>ROUND(B16*E16*(1+fringe_rate)/12,2)</f>
        <v/>
      </c>
      <c r="K16" s="6">
        <f>ROUND(J16*ot_fraction,2)</f>
        <v/>
      </c>
      <c r="L16" s="6">
        <f>ROUND(F16*E16*(1+fringe_rate)/12,2)</f>
        <v/>
      </c>
      <c r="M16" s="6">
        <f>ROUND(L16*ot_fraction,2)</f>
        <v/>
      </c>
      <c r="N16" s="6">
        <f>ROUND(K16+MIN(MAX(B16-H16,0)*ot_hours_per_head,H16*max_ot_hours)*E16/2080*ot_premium,2)</f>
        <v/>
      </c>
      <c r="O16" s="6">
        <f>ROUND(H16*E16*(1+fringe_rate)/12,2)</f>
        <v/>
      </c>
      <c r="P16" s="6">
        <f>ROUND(I16*E16*(1+fringe_rate)/12,2)</f>
        <v/>
      </c>
      <c r="Q16" s="6">
        <f>ROUND(P16*ot_fraction,2)</f>
        <v/>
      </c>
      <c r="R16" s="6">
        <f>ROUND(extra_reqs_per_month*sites_count*hire_cost,2)</f>
        <v/>
      </c>
      <c r="S16" s="6">
        <f>ROUND(G16*E16*(1+fringe_rate)/12,2)</f>
        <v/>
      </c>
      <c r="T16" s="6">
        <f>ROUND(S16*ot_fraction,2)</f>
        <v/>
      </c>
      <c r="U16" s="4">
        <f>U15-C16*IF(11&lt;=spike_months,attrition_multiplier,1)+IF(11&gt;freeze_start_month,0,D16)</f>
        <v/>
      </c>
      <c r="V16" s="6">
        <f>ROUND(U16*E16*(1+fringe_rate)/12,2)</f>
        <v/>
      </c>
      <c r="W16" s="6">
        <f>ROUND(V16*ot_fraction,2)</f>
        <v/>
      </c>
    </row>
    <row r="17">
      <c r="A17" s="7" t="n">
        <v>46600</v>
      </c>
      <c r="B17" s="4" t="n">
        <v>2417.1</v>
      </c>
      <c r="C17" s="3" t="n">
        <v>31.91</v>
      </c>
      <c r="D17" s="3" t="n">
        <v>0</v>
      </c>
      <c r="E17" s="6" t="n">
        <v>62768.90797598362</v>
      </c>
      <c r="F17" s="4">
        <f>F16-C17*IF(12&lt;=spike_months,attrition_multiplier,1)+D17</f>
        <v/>
      </c>
      <c r="G17" s="4">
        <f>G16-C17+IF(12&gt;freeze_start_month,0,D17)</f>
        <v/>
      </c>
      <c r="H17" s="4">
        <f>H16-C17</f>
        <v/>
      </c>
      <c r="I17" s="4">
        <f>I16-C17+D17+extra_reqs_per_month*sites_count</f>
        <v/>
      </c>
      <c r="J17" s="6">
        <f>ROUND(B17*E17*(1+fringe_rate)/12,2)</f>
        <v/>
      </c>
      <c r="K17" s="6">
        <f>ROUND(J17*ot_fraction,2)</f>
        <v/>
      </c>
      <c r="L17" s="6">
        <f>ROUND(F17*E17*(1+fringe_rate)/12,2)</f>
        <v/>
      </c>
      <c r="M17" s="6">
        <f>ROUND(L17*ot_fraction,2)</f>
        <v/>
      </c>
      <c r="N17" s="6">
        <f>ROUND(K17+MIN(MAX(B17-H17,0)*ot_hours_per_head,H17*max_ot_hours)*E17/2080*ot_premium,2)</f>
        <v/>
      </c>
      <c r="O17" s="6">
        <f>ROUND(H17*E17*(1+fringe_rate)/12,2)</f>
        <v/>
      </c>
      <c r="P17" s="6">
        <f>ROUND(I17*E17*(1+fringe_rate)/12,2)</f>
        <v/>
      </c>
      <c r="Q17" s="6">
        <f>ROUND(P17*ot_fraction,2)</f>
        <v/>
      </c>
      <c r="R17" s="6">
        <f>ROUND(extra_reqs_per_month*sites_count*hire_cost,2)</f>
        <v/>
      </c>
      <c r="S17" s="6">
        <f>ROUND(G17*E17*(1+fringe_rate)/12,2)</f>
        <v/>
      </c>
      <c r="T17" s="6">
        <f>ROUND(S17*ot_fraction,2)</f>
        <v/>
      </c>
      <c r="U17" s="4">
        <f>U16-C17*IF(12&lt;=spike_months,attrition_multiplier,1)+IF(12&gt;freeze_start_month,0,D17)</f>
        <v/>
      </c>
      <c r="V17" s="6">
        <f>ROUND(U17*E17*(1+fringe_rate)/12,2)</f>
        <v/>
      </c>
      <c r="W17" s="6">
        <f>ROUND(V17*ot_fraction,2)</f>
        <v/>
      </c>
    </row>
    <row r="19">
      <c r="A19" s="2" t="inlineStr">
        <is>
          <t>Scenario</t>
        </is>
      </c>
      <c r="B19" s="2" t="inlineStr">
        <is>
          <t>Ending Headcount</t>
        </is>
      </c>
      <c r="C19" s="2" t="inlineStr">
        <is>
          <t>Labor USD</t>
        </is>
      </c>
      <c r="D19" s="2" t="inlineStr">
        <is>
          <t>Overtime USD</t>
        </is>
      </c>
      <c r="E19" s="2" t="inlineStr">
        <is>
          <t>Other USD</t>
        </is>
      </c>
      <c r="F19" s="2" t="inlineStr">
        <is>
          <t>Total USD</t>
        </is>
      </c>
      <c r="G19" s="2" t="inlineStr">
        <is>
          <t>Cost per Head</t>
        </is>
      </c>
      <c r="H19" s="2" t="inlineStr">
        <is>
          <t>Delta vs Baseline USD</t>
        </is>
      </c>
      <c r="I19" s="2" t="inlineStr">
        <is>
          <t>Delta vs Baseline %</t>
        </is>
      </c>
    </row>
    <row r="20">
      <c r="A20" t="inlineStr">
        <is>
          <t>Baseline</t>
        </is>
      </c>
      <c r="B20" s="4">
        <f>B17</f>
        <v/>
      </c>
      <c r="C20" s="6">
        <f>SUM(J6:J17)</f>
        <v/>
      </c>
      <c r="D20" s="6">
        <f>SUM(K6:K17)</f>
        <v/>
      </c>
      <c r="E20" s="6" t="n">
        <v>0</v>
      </c>
      <c r="F20" s="6">
        <f>C20+D20+E20</f>
        <v/>
      </c>
      <c r="G20" s="6">
        <f>F20/AVERAGE(B6:B17)</f>
        <v/>
      </c>
      <c r="H20" s="6">
        <f>$F$20-F20</f>
        <v/>
      </c>
      <c r="I20" s="8">
        <f>IFERROR(H20/$F$20,"")</f>
        <v/>
      </c>
    </row>
    <row r="21">
      <c r="A21" t="inlineStr">
        <is>
          <t>Hiring Freeze</t>
        </is>
      </c>
      <c r="B21" s="4">
        <f>G17</f>
        <v/>
      </c>
      <c r="C21" s="6">
        <f>SUM(S6:S17)</f>
        <v/>
      </c>
      <c r="D21" s="6">
        <f>SUM(T6:T17)</f>
        <v/>
      </c>
      <c r="E21" s="6" t="n">
        <v>0</v>
      </c>
      <c r="F21" s="6">
        <f>C21+D21+E21</f>
        <v/>
      </c>
      <c r="G21" s="6">
        <f>F21/AVERAGE(G6:G17)</f>
        <v/>
      </c>
      <c r="H21" s="6">
        <f>$F$20-F21</f>
        <v/>
      </c>
      <c r="I21" s="8">
        <f>IFERROR(H21/$F$20,"")</f>
        <v/>
      </c>
    </row>
    <row r="22">
      <c r="A22" t="inlineStr">
        <is>
          <t>Attrition Spike</t>
        </is>
      </c>
      <c r="B22" s="4">
        <f>F17</f>
        <v/>
      </c>
      <c r="C22" s="6">
        <f>SUM(L6:L17)</f>
        <v/>
      </c>
      <c r="D22" s="6">
        <f>SUM(M6:M17)</f>
        <v/>
      </c>
      <c r="E22" s="6" t="n">
        <v>0</v>
      </c>
      <c r="F22" s="6">
        <f>C22+D22+E22</f>
        <v/>
      </c>
      <c r="G22" s="6">
        <f>F22/AVERAGE(F6:F17)</f>
        <v/>
      </c>
      <c r="H22" s="6">
        <f>$F$20-F22</f>
        <v/>
      </c>
      <c r="I22" s="8">
        <f>IFERROR(H22/$F$20,"")</f>
        <v/>
      </c>
    </row>
    <row r="23">
      <c r="A23" t="inlineStr">
        <is>
          <t>Overtime Shift</t>
        </is>
      </c>
      <c r="B23" s="4">
        <f>H17</f>
        <v/>
      </c>
      <c r="C23" s="6">
        <f>SUM(O6:O17)</f>
        <v/>
      </c>
      <c r="D23" s="6">
        <f>SUM(N6:N17)</f>
        <v/>
      </c>
      <c r="E23" s="6" t="n">
        <v>0</v>
      </c>
      <c r="F23" s="6">
        <f>C23+D23+E23</f>
        <v/>
      </c>
      <c r="G23" s="6">
        <f>F23/AVERAGE(H6:H17)</f>
        <v/>
      </c>
      <c r="H23" s="6">
        <f>$F$20-F23</f>
        <v/>
      </c>
      <c r="I23" s="8">
        <f>IFERROR(H23/$F$20,"")</f>
        <v/>
      </c>
    </row>
    <row r="24">
      <c r="A24" t="inlineStr">
        <is>
          <t>Accelerated Hiring</t>
        </is>
      </c>
      <c r="B24" s="4">
        <f>I17</f>
        <v/>
      </c>
      <c r="C24" s="6">
        <f>SUM(P6:P17)</f>
        <v/>
      </c>
      <c r="D24" s="6">
        <f>SUM(Q6:Q17)</f>
        <v/>
      </c>
      <c r="E24" s="6">
        <f>SUM(R6:R17)</f>
        <v/>
      </c>
      <c r="F24" s="6">
        <f>C24+D24+E24</f>
        <v/>
      </c>
      <c r="G24" s="6">
        <f>F24/AVERAGE(I6:I17)</f>
        <v/>
      </c>
      <c r="H24" s="6">
        <f>$F$20-F24</f>
        <v/>
      </c>
      <c r="I24" s="8">
        <f>IFERROR(H24/$F$20,"")</f>
        <v/>
      </c>
    </row>
    <row r="25">
      <c r="A25" t="inlineStr">
        <is>
          <t>Spike + Freeze</t>
        </is>
      </c>
      <c r="B25" s="4">
        <f>U17</f>
        <v/>
      </c>
      <c r="C25" s="6">
        <f>SUM(V6:V17)</f>
        <v/>
      </c>
      <c r="D25" s="6">
        <f>SUM(W6:W17)</f>
        <v/>
      </c>
      <c r="E25" s="6" t="n">
        <v>0</v>
      </c>
      <c r="F25" s="6">
        <f>C25+D25+E25</f>
        <v/>
      </c>
      <c r="G25" s="6">
        <f>F25/AVERAGE(U6:U17)</f>
        <v/>
      </c>
      <c r="H25" s="6">
        <f>$F$20-F25</f>
        <v/>
      </c>
      <c r="I25" s="8">
        <f>IFERROR(H25/$F$20,"")</f>
        <v/>
      </c>
    </row>
    <row r="28">
      <c r="A28" s="9" t="inlineStr">
        <is>
          <t>Break-even analysis</t>
        </is>
      </c>
    </row>
    <row r="29">
      <c r="A29" t="inlineStr">
        <is>
          <t>Attrition multiplier where overtime policy exceeds backfill hiring:</t>
        </is>
      </c>
      <c r="B29" s="3" t="n">
        <v>1</v>
      </c>
    </row>
    <row r="30">
      <c r="A30" t="inlineStr">
        <is>
          <t>Break-even OT hours per head-month (overtime cost = backfill cost):</t>
        </is>
      </c>
      <c r="B30" s="5">
        <f>ROUND(((1+fringe_rate)/12+hire_cost/(12*avg_blended_salary))*2080/ot_premium,0)</f>
        <v/>
      </c>
    </row>
    <row r="31">
      <c r="A31" t="inlineStr">
        <is>
          <t>Note: OT scenario math is an aggregate approximation; per-site detail is in data/marts/scenario_monthly.*</t>
        </is>
      </c>
    </row>
    <row r="32">
      <c r="A32" s="2" t="inlineStr">
        <is>
          <t>Attrition Multiplier</t>
        </is>
      </c>
      <c r="B32" s="2" t="inlineStr">
        <is>
          <t>Backfill Cost USD</t>
        </is>
      </c>
      <c r="C32" s="2" t="inlineStr">
        <is>
          <t>Overtime Policy Cost USD</t>
        </is>
      </c>
      <c r="D32" s="2" t="inlineStr">
        <is>
          <t>OT - Backfill USD</t>
        </is>
      </c>
    </row>
    <row r="33">
      <c r="A33" s="3" t="n">
        <v>1</v>
      </c>
      <c r="B33" s="6" t="n">
        <v>219289812.67</v>
      </c>
      <c r="C33" s="6" t="n">
        <v>219318519.83</v>
      </c>
      <c r="D33" s="6" t="n">
        <v>28707.16</v>
      </c>
    </row>
    <row r="34">
      <c r="A34" s="3" t="n">
        <v>1.25</v>
      </c>
      <c r="B34" s="6" t="n">
        <v>214757427.01</v>
      </c>
      <c r="C34" s="6" t="n">
        <v>219455040.74</v>
      </c>
      <c r="D34" s="6" t="n">
        <v>4697613.73</v>
      </c>
    </row>
    <row r="35">
      <c r="A35" s="3" t="n">
        <v>1.5</v>
      </c>
      <c r="B35" s="6" t="n">
        <v>210335722.34</v>
      </c>
      <c r="C35" s="6" t="n">
        <v>219588244.23</v>
      </c>
      <c r="D35" s="6" t="n">
        <v>9252521.890000001</v>
      </c>
    </row>
    <row r="36">
      <c r="A36" s="3" t="n">
        <v>1.75</v>
      </c>
      <c r="B36" s="6" t="n">
        <v>206021813.35</v>
      </c>
      <c r="C36" s="6" t="n">
        <v>219718197.97</v>
      </c>
      <c r="D36" s="6" t="n">
        <v>13696384.62</v>
      </c>
    </row>
    <row r="37">
      <c r="A37" s="3" t="n">
        <v>2</v>
      </c>
      <c r="B37" s="6" t="n">
        <v>201812889.49</v>
      </c>
      <c r="C37" s="6" t="n">
        <v>219844986.7</v>
      </c>
      <c r="D37" s="6" t="n">
        <v>18032097.21</v>
      </c>
    </row>
    <row r="38">
      <c r="A38" s="3" t="n">
        <v>2.25</v>
      </c>
      <c r="B38" s="6" t="n">
        <v>197706213.22</v>
      </c>
      <c r="C38" s="6" t="n">
        <v>219968693.03</v>
      </c>
      <c r="D38" s="6" t="n">
        <v>22262479.81</v>
      </c>
    </row>
    <row r="39">
      <c r="A39" s="3" t="n">
        <v>2.5</v>
      </c>
      <c r="B39" s="6" t="n">
        <v>193699118.18</v>
      </c>
      <c r="C39" s="6" t="n">
        <v>220089397.38</v>
      </c>
      <c r="D39" s="6" t="n">
        <v>26390279.2</v>
      </c>
    </row>
  </sheetData>
  <conditionalFormatting sqref="H20:H25">
    <cfRule type="expression" priority="1" dxfId="0">
      <formula>$H20&lt;0</formula>
    </cfRule>
    <cfRule type="expression" priority="2" dxfId="1">
      <formula>$H20&gt;0</formula>
    </cfRule>
  </conditionalFormatting>
  <conditionalFormatting sqref="I20:I25">
    <cfRule type="expression" priority="3" dxfId="0">
      <formula>$I20&lt;-0.05</formula>
    </cfRule>
    <cfRule type="expression" priority="4" dxfId="1">
      <formula>$I20&gt;0.05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7" customWidth="1" min="5" max="5"/>
    <col width="17" customWidth="1" min="6" max="6"/>
    <col width="16" customWidth="1" min="7" max="7"/>
    <col width="12" customWidth="1" min="8" max="8"/>
    <col width="17" customWidth="1" min="9" max="9"/>
    <col width="30" customWidth="1" min="11" max="11"/>
    <col width="22" customWidth="1" min="12" max="12"/>
  </cols>
  <sheetData>
    <row r="1">
      <c r="A1" s="2" t="inlineStr">
        <is>
          <t>Site</t>
        </is>
      </c>
      <c r="B1" s="2" t="inlineStr">
        <is>
          <t>Cost Center</t>
        </is>
      </c>
      <c r="C1" s="2" t="inlineStr">
        <is>
          <t>Function</t>
        </is>
      </c>
      <c r="D1" s="2" t="inlineStr">
        <is>
          <t>Fiscal Month</t>
        </is>
      </c>
      <c r="E1" s="2" t="inlineStr">
        <is>
          <t>Planned Total USD</t>
        </is>
      </c>
      <c r="F1" s="2" t="inlineStr">
        <is>
          <t>Actual Total USD</t>
        </is>
      </c>
      <c r="G1" s="2" t="inlineStr">
        <is>
          <t>Variance USD</t>
        </is>
      </c>
      <c r="H1" s="2" t="inlineStr">
        <is>
          <t>Variance %</t>
        </is>
      </c>
      <c r="I1" s="2" t="inlineStr">
        <is>
          <t>YTD Variance USD</t>
        </is>
      </c>
      <c r="K1" s="10" t="inlineStr">
        <is>
          <t>Cost Center</t>
        </is>
      </c>
      <c r="L1" s="10" t="inlineStr">
        <is>
          <t>Variance USD (total)</t>
        </is>
      </c>
    </row>
    <row r="2">
      <c r="A2" t="inlineStr">
        <is>
          <t>Gresham</t>
        </is>
      </c>
      <c r="B2" t="inlineStr">
        <is>
          <t>GRS-FAB</t>
        </is>
      </c>
      <c r="C2" t="inlineStr">
        <is>
          <t>Fab Operations</t>
        </is>
      </c>
      <c r="D2" s="7" t="n">
        <v>45170</v>
      </c>
      <c r="E2" s="6" t="n">
        <v>3641141.21</v>
      </c>
      <c r="F2" s="6" t="n">
        <v>3505259.68</v>
      </c>
      <c r="G2" s="6">
        <f>E2-F2</f>
        <v/>
      </c>
      <c r="H2" s="8">
        <f>IFERROR((E2-F2)/E2,"")</f>
        <v/>
      </c>
      <c r="I2" s="6" t="n">
        <v>135881.53</v>
      </c>
      <c r="K2" t="inlineStr">
        <is>
          <t>GRS-FAB Gresham Fab Operations</t>
        </is>
      </c>
      <c r="L2" s="6">
        <f>SUMIFS($G$2:$G$865,$B$2:$B$865,LEFT(K2,7))</f>
        <v/>
      </c>
    </row>
    <row r="3">
      <c r="A3" t="inlineStr">
        <is>
          <t>Gresham</t>
        </is>
      </c>
      <c r="B3" t="inlineStr">
        <is>
          <t>GRS-FAB</t>
        </is>
      </c>
      <c r="C3" t="inlineStr">
        <is>
          <t>Fab Operations</t>
        </is>
      </c>
      <c r="D3" s="7" t="n">
        <v>45200</v>
      </c>
      <c r="E3" s="6" t="n">
        <v>3604316.04</v>
      </c>
      <c r="F3" s="6" t="n">
        <v>3528737.9</v>
      </c>
      <c r="G3" s="6">
        <f>E3-F3</f>
        <v/>
      </c>
      <c r="H3" s="8">
        <f>IFERROR((E3-F3)/E3,"")</f>
        <v/>
      </c>
      <c r="I3" s="6" t="n">
        <v>211459.67</v>
      </c>
      <c r="K3" t="inlineStr">
        <is>
          <t>GRS-TNA Gresham Test &amp; Assembly</t>
        </is>
      </c>
      <c r="L3" s="6">
        <f>SUMIFS($G$2:$G$865,$B$2:$B$865,LEFT(K3,7))</f>
        <v/>
      </c>
    </row>
    <row r="4">
      <c r="A4" t="inlineStr">
        <is>
          <t>Gresham</t>
        </is>
      </c>
      <c r="B4" t="inlineStr">
        <is>
          <t>GRS-FAB</t>
        </is>
      </c>
      <c r="C4" t="inlineStr">
        <is>
          <t>Fab Operations</t>
        </is>
      </c>
      <c r="D4" s="7" t="n">
        <v>45231</v>
      </c>
      <c r="E4" s="6" t="n">
        <v>3627892.11</v>
      </c>
      <c r="F4" s="6" t="n">
        <v>3496170.6</v>
      </c>
      <c r="G4" s="6">
        <f>E4-F4</f>
        <v/>
      </c>
      <c r="H4" s="8">
        <f>IFERROR((E4-F4)/E4,"")</f>
        <v/>
      </c>
      <c r="I4" s="6" t="n">
        <v>343181.18</v>
      </c>
      <c r="K4" t="inlineStr">
        <is>
          <t>GRS-FAC Gresham Facilities</t>
        </is>
      </c>
      <c r="L4" s="6">
        <f>SUMIFS($G$2:$G$865,$B$2:$B$865,LEFT(K4,7))</f>
        <v/>
      </c>
    </row>
    <row r="5">
      <c r="A5" t="inlineStr">
        <is>
          <t>Gresham</t>
        </is>
      </c>
      <c r="B5" t="inlineStr">
        <is>
          <t>GRS-FAB</t>
        </is>
      </c>
      <c r="C5" t="inlineStr">
        <is>
          <t>Fab Operations</t>
        </is>
      </c>
      <c r="D5" s="7" t="n">
        <v>45261</v>
      </c>
      <c r="E5" s="6" t="n">
        <v>3652572.54</v>
      </c>
      <c r="F5" s="6" t="n">
        <v>3707967.12</v>
      </c>
      <c r="G5" s="6">
        <f>E5-F5</f>
        <v/>
      </c>
      <c r="H5" s="8">
        <f>IFERROR((E5-F5)/E5,"")</f>
        <v/>
      </c>
      <c r="I5" s="6" t="n">
        <v>287786.6</v>
      </c>
      <c r="K5" t="inlineStr">
        <is>
          <t>GRS-QLT Gresham Quality</t>
        </is>
      </c>
      <c r="L5" s="6">
        <f>SUMIFS($G$2:$G$865,$B$2:$B$865,LEFT(K5,7))</f>
        <v/>
      </c>
    </row>
    <row r="6">
      <c r="A6" t="inlineStr">
        <is>
          <t>Gresham</t>
        </is>
      </c>
      <c r="B6" t="inlineStr">
        <is>
          <t>GRS-FAB</t>
        </is>
      </c>
      <c r="C6" t="inlineStr">
        <is>
          <t>Fab Operations</t>
        </is>
      </c>
      <c r="D6" s="7" t="n">
        <v>45292</v>
      </c>
      <c r="E6" s="6" t="n">
        <v>3452279.03</v>
      </c>
      <c r="F6" s="6" t="n">
        <v>3701141.05</v>
      </c>
      <c r="G6" s="6">
        <f>E6-F6</f>
        <v/>
      </c>
      <c r="H6" s="8">
        <f>IFERROR((E6-F6)/E6,"")</f>
        <v/>
      </c>
      <c r="I6" s="6" t="n">
        <v>-248862.02</v>
      </c>
      <c r="K6" t="inlineStr">
        <is>
          <t>GRS-SCM Gresham Supply Chain</t>
        </is>
      </c>
      <c r="L6" s="6">
        <f>SUMIFS($G$2:$G$865,$B$2:$B$865,LEFT(K6,7))</f>
        <v/>
      </c>
    </row>
    <row r="7">
      <c r="A7" t="inlineStr">
        <is>
          <t>Gresham</t>
        </is>
      </c>
      <c r="B7" t="inlineStr">
        <is>
          <t>GRS-FAB</t>
        </is>
      </c>
      <c r="C7" t="inlineStr">
        <is>
          <t>Fab Operations</t>
        </is>
      </c>
      <c r="D7" s="7" t="n">
        <v>45323</v>
      </c>
      <c r="E7" s="6" t="n">
        <v>3398030.69</v>
      </c>
      <c r="F7" s="6" t="n">
        <v>3381274.89</v>
      </c>
      <c r="G7" s="6">
        <f>E7-F7</f>
        <v/>
      </c>
      <c r="H7" s="8">
        <f>IFERROR((E7-F7)/E7,"")</f>
        <v/>
      </c>
      <c r="I7" s="6" t="n">
        <v>-232106.22</v>
      </c>
      <c r="K7" t="inlineStr">
        <is>
          <t>GRS-ENG Gresham Engineering</t>
        </is>
      </c>
      <c r="L7" s="6">
        <f>SUMIFS($G$2:$G$865,$B$2:$B$865,LEFT(K7,7))</f>
        <v/>
      </c>
    </row>
    <row r="8">
      <c r="A8" t="inlineStr">
        <is>
          <t>Gresham</t>
        </is>
      </c>
      <c r="B8" t="inlineStr">
        <is>
          <t>GRS-FAB</t>
        </is>
      </c>
      <c r="C8" t="inlineStr">
        <is>
          <t>Fab Operations</t>
        </is>
      </c>
      <c r="D8" s="7" t="n">
        <v>45352</v>
      </c>
      <c r="E8" s="6" t="n">
        <v>3386355.64</v>
      </c>
      <c r="F8" s="6" t="n">
        <v>3531069.17</v>
      </c>
      <c r="G8" s="6">
        <f>E8-F8</f>
        <v/>
      </c>
      <c r="H8" s="8">
        <f>IFERROR((E8-F8)/E8,"")</f>
        <v/>
      </c>
      <c r="I8" s="6" t="n">
        <v>-376819.75</v>
      </c>
      <c r="K8" t="inlineStr">
        <is>
          <t>RSV-FAB Roseville Fab Operations</t>
        </is>
      </c>
      <c r="L8" s="6">
        <f>SUMIFS($G$2:$G$865,$B$2:$B$865,LEFT(K8,7))</f>
        <v/>
      </c>
    </row>
    <row r="9">
      <c r="A9" t="inlineStr">
        <is>
          <t>Gresham</t>
        </is>
      </c>
      <c r="B9" t="inlineStr">
        <is>
          <t>GRS-FAB</t>
        </is>
      </c>
      <c r="C9" t="inlineStr">
        <is>
          <t>Fab Operations</t>
        </is>
      </c>
      <c r="D9" s="7" t="n">
        <v>45383</v>
      </c>
      <c r="E9" s="6" t="n">
        <v>3273594.52</v>
      </c>
      <c r="F9" s="6" t="n">
        <v>3538323.48</v>
      </c>
      <c r="G9" s="6">
        <f>E9-F9</f>
        <v/>
      </c>
      <c r="H9" s="8">
        <f>IFERROR((E9-F9)/E9,"")</f>
        <v/>
      </c>
      <c r="I9" s="6" t="n">
        <v>-641548.71</v>
      </c>
      <c r="K9" t="inlineStr">
        <is>
          <t>RSV-TNA Roseville Test &amp; Assembly</t>
        </is>
      </c>
      <c r="L9" s="6">
        <f>SUMIFS($G$2:$G$865,$B$2:$B$865,LEFT(K9,7))</f>
        <v/>
      </c>
    </row>
    <row r="10">
      <c r="A10" t="inlineStr">
        <is>
          <t>Gresham</t>
        </is>
      </c>
      <c r="B10" t="inlineStr">
        <is>
          <t>GRS-FAB</t>
        </is>
      </c>
      <c r="C10" t="inlineStr">
        <is>
          <t>Fab Operations</t>
        </is>
      </c>
      <c r="D10" s="7" t="n">
        <v>45413</v>
      </c>
      <c r="E10" s="6" t="n">
        <v>3234055.77</v>
      </c>
      <c r="F10" s="6" t="n">
        <v>3390412.94</v>
      </c>
      <c r="G10" s="6">
        <f>E10-F10</f>
        <v/>
      </c>
      <c r="H10" s="8">
        <f>IFERROR((E10-F10)/E10,"")</f>
        <v/>
      </c>
      <c r="I10" s="6" t="n">
        <v>-797905.88</v>
      </c>
      <c r="K10" t="inlineStr">
        <is>
          <t>RSV-FAC Roseville Facilities</t>
        </is>
      </c>
      <c r="L10" s="6">
        <f>SUMIFS($G$2:$G$865,$B$2:$B$865,LEFT(K10,7))</f>
        <v/>
      </c>
    </row>
    <row r="11">
      <c r="A11" t="inlineStr">
        <is>
          <t>Gresham</t>
        </is>
      </c>
      <c r="B11" t="inlineStr">
        <is>
          <t>GRS-FAB</t>
        </is>
      </c>
      <c r="C11" t="inlineStr">
        <is>
          <t>Fab Operations</t>
        </is>
      </c>
      <c r="D11" s="7" t="n">
        <v>45444</v>
      </c>
      <c r="E11" s="6" t="n">
        <v>3361342.7</v>
      </c>
      <c r="F11" s="6" t="n">
        <v>3459936.24</v>
      </c>
      <c r="G11" s="6">
        <f>E11-F11</f>
        <v/>
      </c>
      <c r="H11" s="8">
        <f>IFERROR((E11-F11)/E11,"")</f>
        <v/>
      </c>
      <c r="I11" s="6" t="n">
        <v>-896499.42</v>
      </c>
      <c r="K11" t="inlineStr">
        <is>
          <t>RSV-QLT Roseville Quality</t>
        </is>
      </c>
      <c r="L11" s="6">
        <f>SUMIFS($G$2:$G$865,$B$2:$B$865,LEFT(K11,7))</f>
        <v/>
      </c>
    </row>
    <row r="12">
      <c r="A12" t="inlineStr">
        <is>
          <t>Gresham</t>
        </is>
      </c>
      <c r="B12" t="inlineStr">
        <is>
          <t>GRS-FAB</t>
        </is>
      </c>
      <c r="C12" t="inlineStr">
        <is>
          <t>Fab Operations</t>
        </is>
      </c>
      <c r="D12" s="7" t="n">
        <v>45474</v>
      </c>
      <c r="E12" s="6" t="n">
        <v>3435171.45</v>
      </c>
      <c r="F12" s="6" t="n">
        <v>3508830.58</v>
      </c>
      <c r="G12" s="6">
        <f>E12-F12</f>
        <v/>
      </c>
      <c r="H12" s="8">
        <f>IFERROR((E12-F12)/E12,"")</f>
        <v/>
      </c>
      <c r="I12" s="6" t="n">
        <v>-970158.55</v>
      </c>
      <c r="K12" t="inlineStr">
        <is>
          <t>RSV-SCM Roseville Supply Chain</t>
        </is>
      </c>
      <c r="L12" s="6">
        <f>SUMIFS($G$2:$G$865,$B$2:$B$865,LEFT(K12,7))</f>
        <v/>
      </c>
    </row>
    <row r="13">
      <c r="A13" t="inlineStr">
        <is>
          <t>Gresham</t>
        </is>
      </c>
      <c r="B13" t="inlineStr">
        <is>
          <t>GRS-FAB</t>
        </is>
      </c>
      <c r="C13" t="inlineStr">
        <is>
          <t>Fab Operations</t>
        </is>
      </c>
      <c r="D13" s="7" t="n">
        <v>45505</v>
      </c>
      <c r="E13" s="6" t="n">
        <v>3471194.89</v>
      </c>
      <c r="F13" s="6" t="n">
        <v>3420529.31</v>
      </c>
      <c r="G13" s="6">
        <f>E13-F13</f>
        <v/>
      </c>
      <c r="H13" s="8">
        <f>IFERROR((E13-F13)/E13,"")</f>
        <v/>
      </c>
      <c r="I13" s="6" t="n">
        <v>-919492.97</v>
      </c>
      <c r="K13" t="inlineStr">
        <is>
          <t>RSV-ENG Roseville Engineering</t>
        </is>
      </c>
      <c r="L13" s="6">
        <f>SUMIFS($G$2:$G$865,$B$2:$B$865,LEFT(K13,7))</f>
        <v/>
      </c>
    </row>
    <row r="14">
      <c r="A14" t="inlineStr">
        <is>
          <t>Gresham</t>
        </is>
      </c>
      <c r="B14" t="inlineStr">
        <is>
          <t>GRS-FAB</t>
        </is>
      </c>
      <c r="C14" t="inlineStr">
        <is>
          <t>Fab Operations</t>
        </is>
      </c>
      <c r="D14" s="7" t="n">
        <v>45536</v>
      </c>
      <c r="E14" s="6" t="n">
        <v>3478821.03</v>
      </c>
      <c r="F14" s="6" t="n">
        <v>3583287.89</v>
      </c>
      <c r="G14" s="6">
        <f>E14-F14</f>
        <v/>
      </c>
      <c r="H14" s="8">
        <f>IFERROR((E14-F14)/E14,"")</f>
        <v/>
      </c>
      <c r="I14" s="6" t="n">
        <v>-1023959.83</v>
      </c>
      <c r="K14" t="inlineStr">
        <is>
          <t>SRB-FAB Seremban Fab Operations</t>
        </is>
      </c>
      <c r="L14" s="6">
        <f>SUMIFS($G$2:$G$865,$B$2:$B$865,LEFT(K14,7))</f>
        <v/>
      </c>
    </row>
    <row r="15">
      <c r="A15" t="inlineStr">
        <is>
          <t>Gresham</t>
        </is>
      </c>
      <c r="B15" t="inlineStr">
        <is>
          <t>GRS-FAB</t>
        </is>
      </c>
      <c r="C15" t="inlineStr">
        <is>
          <t>Fab Operations</t>
        </is>
      </c>
      <c r="D15" s="7" t="n">
        <v>45566</v>
      </c>
      <c r="E15" s="6" t="n">
        <v>3576188.78</v>
      </c>
      <c r="F15" s="6" t="n">
        <v>3561328.85</v>
      </c>
      <c r="G15" s="6">
        <f>E15-F15</f>
        <v/>
      </c>
      <c r="H15" s="8">
        <f>IFERROR((E15-F15)/E15,"")</f>
        <v/>
      </c>
      <c r="I15" s="6" t="n">
        <v>-1009099.9</v>
      </c>
      <c r="K15" t="inlineStr">
        <is>
          <t>SRB-TNA Seremban Test &amp; Assembly</t>
        </is>
      </c>
      <c r="L15" s="6">
        <f>SUMIFS($G$2:$G$865,$B$2:$B$865,LEFT(K15,7))</f>
        <v/>
      </c>
    </row>
    <row r="16">
      <c r="A16" t="inlineStr">
        <is>
          <t>Gresham</t>
        </is>
      </c>
      <c r="B16" t="inlineStr">
        <is>
          <t>GRS-FAB</t>
        </is>
      </c>
      <c r="C16" t="inlineStr">
        <is>
          <t>Fab Operations</t>
        </is>
      </c>
      <c r="D16" s="7" t="n">
        <v>45597</v>
      </c>
      <c r="E16" s="6" t="n">
        <v>3628126.24</v>
      </c>
      <c r="F16" s="6" t="n">
        <v>3596609.27</v>
      </c>
      <c r="G16" s="6">
        <f>E16-F16</f>
        <v/>
      </c>
      <c r="H16" s="8">
        <f>IFERROR((E16-F16)/E16,"")</f>
        <v/>
      </c>
      <c r="I16" s="6" t="n">
        <v>-977582.9300000001</v>
      </c>
      <c r="K16" t="inlineStr">
        <is>
          <t>SRB-FAC Seremban Facilities</t>
        </is>
      </c>
      <c r="L16" s="6">
        <f>SUMIFS($G$2:$G$865,$B$2:$B$865,LEFT(K16,7))</f>
        <v/>
      </c>
    </row>
    <row r="17">
      <c r="A17" t="inlineStr">
        <is>
          <t>Gresham</t>
        </is>
      </c>
      <c r="B17" t="inlineStr">
        <is>
          <t>GRS-FAB</t>
        </is>
      </c>
      <c r="C17" t="inlineStr">
        <is>
          <t>Fab Operations</t>
        </is>
      </c>
      <c r="D17" s="7" t="n">
        <v>45627</v>
      </c>
      <c r="E17" s="6" t="n">
        <v>3450690.08</v>
      </c>
      <c r="F17" s="6" t="n">
        <v>3432732.68</v>
      </c>
      <c r="G17" s="6">
        <f>E17-F17</f>
        <v/>
      </c>
      <c r="H17" s="8">
        <f>IFERROR((E17-F17)/E17,"")</f>
        <v/>
      </c>
      <c r="I17" s="6" t="n">
        <v>-959625.53</v>
      </c>
      <c r="K17" t="inlineStr">
        <is>
          <t>SRB-QLT Seremban Quality</t>
        </is>
      </c>
      <c r="L17" s="6">
        <f>SUMIFS($G$2:$G$865,$B$2:$B$865,LEFT(K17,7))</f>
        <v/>
      </c>
    </row>
    <row r="18">
      <c r="A18" t="inlineStr">
        <is>
          <t>Gresham</t>
        </is>
      </c>
      <c r="B18" t="inlineStr">
        <is>
          <t>GRS-FAB</t>
        </is>
      </c>
      <c r="C18" t="inlineStr">
        <is>
          <t>Fab Operations</t>
        </is>
      </c>
      <c r="D18" s="7" t="n">
        <v>45658</v>
      </c>
      <c r="E18" s="6" t="n">
        <v>3449551.32</v>
      </c>
      <c r="F18" s="6" t="n">
        <v>3606623.51</v>
      </c>
      <c r="G18" s="6">
        <f>E18-F18</f>
        <v/>
      </c>
      <c r="H18" s="8">
        <f>IFERROR((E18-F18)/E18,"")</f>
        <v/>
      </c>
      <c r="I18" s="6" t="n">
        <v>-157072.19</v>
      </c>
      <c r="K18" t="inlineStr">
        <is>
          <t>SRB-SCM Seremban Supply Chain</t>
        </is>
      </c>
      <c r="L18" s="6">
        <f>SUMIFS($G$2:$G$865,$B$2:$B$865,LEFT(K18,7))</f>
        <v/>
      </c>
    </row>
    <row r="19">
      <c r="A19" t="inlineStr">
        <is>
          <t>Gresham</t>
        </is>
      </c>
      <c r="B19" t="inlineStr">
        <is>
          <t>GRS-FAB</t>
        </is>
      </c>
      <c r="C19" t="inlineStr">
        <is>
          <t>Fab Operations</t>
        </is>
      </c>
      <c r="D19" s="7" t="n">
        <v>45689</v>
      </c>
      <c r="E19" s="6" t="n">
        <v>3367861.04</v>
      </c>
      <c r="F19" s="6" t="n">
        <v>3593898.24</v>
      </c>
      <c r="G19" s="6">
        <f>E19-F19</f>
        <v/>
      </c>
      <c r="H19" s="8">
        <f>IFERROR((E19-F19)/E19,"")</f>
        <v/>
      </c>
      <c r="I19" s="6" t="n">
        <v>-383109.39</v>
      </c>
      <c r="K19" t="inlineStr">
        <is>
          <t>SRB-ENG Seremban Engineering</t>
        </is>
      </c>
      <c r="L19" s="6">
        <f>SUMIFS($G$2:$G$865,$B$2:$B$865,LEFT(K19,7))</f>
        <v/>
      </c>
    </row>
    <row r="20">
      <c r="A20" t="inlineStr">
        <is>
          <t>Gresham</t>
        </is>
      </c>
      <c r="B20" t="inlineStr">
        <is>
          <t>GRS-FAB</t>
        </is>
      </c>
      <c r="C20" t="inlineStr">
        <is>
          <t>Fab Operations</t>
        </is>
      </c>
      <c r="D20" s="7" t="n">
        <v>45717</v>
      </c>
      <c r="E20" s="6" t="n">
        <v>3235632.83</v>
      </c>
      <c r="F20" s="6" t="n">
        <v>3456345.52</v>
      </c>
      <c r="G20" s="6">
        <f>E20-F20</f>
        <v/>
      </c>
      <c r="H20" s="8">
        <f>IFERROR((E20-F20)/E20,"")</f>
        <v/>
      </c>
      <c r="I20" s="6" t="n">
        <v>-603822.08</v>
      </c>
      <c r="K20" t="inlineStr">
        <is>
          <t>BRN-FAB Brno Fab Operations</t>
        </is>
      </c>
      <c r="L20" s="6">
        <f>SUMIFS($G$2:$G$865,$B$2:$B$865,LEFT(K20,7))</f>
        <v/>
      </c>
    </row>
    <row r="21">
      <c r="A21" t="inlineStr">
        <is>
          <t>Gresham</t>
        </is>
      </c>
      <c r="B21" t="inlineStr">
        <is>
          <t>GRS-FAB</t>
        </is>
      </c>
      <c r="C21" t="inlineStr">
        <is>
          <t>Fab Operations</t>
        </is>
      </c>
      <c r="D21" s="7" t="n">
        <v>45748</v>
      </c>
      <c r="E21" s="6" t="n">
        <v>3245611.71</v>
      </c>
      <c r="F21" s="6" t="n">
        <v>3478972.7</v>
      </c>
      <c r="G21" s="6">
        <f>E21-F21</f>
        <v/>
      </c>
      <c r="H21" s="8">
        <f>IFERROR((E21-F21)/E21,"")</f>
        <v/>
      </c>
      <c r="I21" s="6" t="n">
        <v>-837183.0699999999</v>
      </c>
      <c r="K21" t="inlineStr">
        <is>
          <t>BRN-TNA Brno Test &amp; Assembly</t>
        </is>
      </c>
      <c r="L21" s="6">
        <f>SUMIFS($G$2:$G$865,$B$2:$B$865,LEFT(K21,7))</f>
        <v/>
      </c>
    </row>
    <row r="22">
      <c r="A22" t="inlineStr">
        <is>
          <t>Gresham</t>
        </is>
      </c>
      <c r="B22" t="inlineStr">
        <is>
          <t>GRS-FAB</t>
        </is>
      </c>
      <c r="C22" t="inlineStr">
        <is>
          <t>Fab Operations</t>
        </is>
      </c>
      <c r="D22" s="7" t="n">
        <v>45778</v>
      </c>
      <c r="E22" s="6" t="n">
        <v>3167250.04</v>
      </c>
      <c r="F22" s="6" t="n">
        <v>3362293.98</v>
      </c>
      <c r="G22" s="6">
        <f>E22-F22</f>
        <v/>
      </c>
      <c r="H22" s="8">
        <f>IFERROR((E22-F22)/E22,"")</f>
        <v/>
      </c>
      <c r="I22" s="6" t="n">
        <v>-1032227.01</v>
      </c>
      <c r="K22" t="inlineStr">
        <is>
          <t>BRN-FAC Brno Facilities</t>
        </is>
      </c>
      <c r="L22" s="6">
        <f>SUMIFS($G$2:$G$865,$B$2:$B$865,LEFT(K22,7))</f>
        <v/>
      </c>
    </row>
    <row r="23">
      <c r="A23" t="inlineStr">
        <is>
          <t>Gresham</t>
        </is>
      </c>
      <c r="B23" t="inlineStr">
        <is>
          <t>GRS-FAB</t>
        </is>
      </c>
      <c r="C23" t="inlineStr">
        <is>
          <t>Fab Operations</t>
        </is>
      </c>
      <c r="D23" s="7" t="n">
        <v>45809</v>
      </c>
      <c r="E23" s="6" t="n">
        <v>3253814.25</v>
      </c>
      <c r="F23" s="6" t="n">
        <v>3211661.71</v>
      </c>
      <c r="G23" s="6">
        <f>E23-F23</f>
        <v/>
      </c>
      <c r="H23" s="8">
        <f>IFERROR((E23-F23)/E23,"")</f>
        <v/>
      </c>
      <c r="I23" s="6" t="n">
        <v>-990074.47</v>
      </c>
      <c r="K23" t="inlineStr">
        <is>
          <t>BRN-QLT Brno Quality</t>
        </is>
      </c>
      <c r="L23" s="6">
        <f>SUMIFS($G$2:$G$865,$B$2:$B$865,LEFT(K23,7))</f>
        <v/>
      </c>
    </row>
    <row r="24">
      <c r="A24" t="inlineStr">
        <is>
          <t>Gresham</t>
        </is>
      </c>
      <c r="B24" t="inlineStr">
        <is>
          <t>GRS-FAB</t>
        </is>
      </c>
      <c r="C24" t="inlineStr">
        <is>
          <t>Fab Operations</t>
        </is>
      </c>
      <c r="D24" s="7" t="n">
        <v>45839</v>
      </c>
      <c r="E24" s="6" t="n">
        <v>3312113.63</v>
      </c>
      <c r="F24" s="6" t="n">
        <v>3262592.01</v>
      </c>
      <c r="G24" s="6">
        <f>E24-F24</f>
        <v/>
      </c>
      <c r="H24" s="8">
        <f>IFERROR((E24-F24)/E24,"")</f>
        <v/>
      </c>
      <c r="I24" s="6" t="n">
        <v>-940552.85</v>
      </c>
      <c r="K24" t="inlineStr">
        <is>
          <t>BRN-SCM Brno Supply Chain</t>
        </is>
      </c>
      <c r="L24" s="6">
        <f>SUMIFS($G$2:$G$865,$B$2:$B$865,LEFT(K24,7))</f>
        <v/>
      </c>
    </row>
    <row r="25">
      <c r="A25" t="inlineStr">
        <is>
          <t>Gresham</t>
        </is>
      </c>
      <c r="B25" t="inlineStr">
        <is>
          <t>GRS-FAB</t>
        </is>
      </c>
      <c r="C25" t="inlineStr">
        <is>
          <t>Fab Operations</t>
        </is>
      </c>
      <c r="D25" s="7" t="n">
        <v>45870</v>
      </c>
      <c r="E25" s="6" t="n">
        <v>3353881.94</v>
      </c>
      <c r="F25" s="6" t="n">
        <v>3407132.4</v>
      </c>
      <c r="G25" s="6">
        <f>E25-F25</f>
        <v/>
      </c>
      <c r="H25" s="8">
        <f>IFERROR((E25-F25)/E25,"")</f>
        <v/>
      </c>
      <c r="I25" s="6" t="n">
        <v>-993803.3100000001</v>
      </c>
      <c r="K25" t="inlineStr">
        <is>
          <t>BRN-ENG Brno Engineering</t>
        </is>
      </c>
      <c r="L25" s="6">
        <f>SUMIFS($G$2:$G$865,$B$2:$B$865,LEFT(K25,7))</f>
        <v/>
      </c>
    </row>
    <row r="26">
      <c r="A26" t="inlineStr">
        <is>
          <t>Gresham</t>
        </is>
      </c>
      <c r="B26" t="inlineStr">
        <is>
          <t>GRS-FAB</t>
        </is>
      </c>
      <c r="C26" t="inlineStr">
        <is>
          <t>Fab Operations</t>
        </is>
      </c>
      <c r="D26" s="7" t="n">
        <v>45901</v>
      </c>
      <c r="E26" s="6" t="n">
        <v>3445243.44</v>
      </c>
      <c r="F26" s="6" t="n">
        <v>3289896.87</v>
      </c>
      <c r="G26" s="6">
        <f>E26-F26</f>
        <v/>
      </c>
      <c r="H26" s="8">
        <f>IFERROR((E26-F26)/E26,"")</f>
        <v/>
      </c>
      <c r="I26" s="6" t="n">
        <v>-838456.74</v>
      </c>
    </row>
    <row r="27">
      <c r="A27" t="inlineStr">
        <is>
          <t>Gresham</t>
        </is>
      </c>
      <c r="B27" t="inlineStr">
        <is>
          <t>GRS-FAB</t>
        </is>
      </c>
      <c r="C27" t="inlineStr">
        <is>
          <t>Fab Operations</t>
        </is>
      </c>
      <c r="D27" s="7" t="n">
        <v>45931</v>
      </c>
      <c r="E27" s="6" t="n">
        <v>3536177.75</v>
      </c>
      <c r="F27" s="6" t="n">
        <v>3422231.17</v>
      </c>
      <c r="G27" s="6">
        <f>E27-F27</f>
        <v/>
      </c>
      <c r="H27" s="8">
        <f>IFERROR((E27-F27)/E27,"")</f>
        <v/>
      </c>
      <c r="I27" s="6" t="n">
        <v>-724510.16</v>
      </c>
    </row>
    <row r="28">
      <c r="A28" t="inlineStr">
        <is>
          <t>Gresham</t>
        </is>
      </c>
      <c r="B28" t="inlineStr">
        <is>
          <t>GRS-FAB</t>
        </is>
      </c>
      <c r="C28" t="inlineStr">
        <is>
          <t>Fab Operations</t>
        </is>
      </c>
      <c r="D28" s="7" t="n">
        <v>45962</v>
      </c>
      <c r="E28" s="6" t="n">
        <v>3462312.39</v>
      </c>
      <c r="F28" s="6" t="n">
        <v>3412719.46</v>
      </c>
      <c r="G28" s="6">
        <f>E28-F28</f>
        <v/>
      </c>
      <c r="H28" s="8">
        <f>IFERROR((E28-F28)/E28,"")</f>
        <v/>
      </c>
      <c r="I28" s="6" t="n">
        <v>-674917.23</v>
      </c>
    </row>
    <row r="29">
      <c r="A29" t="inlineStr">
        <is>
          <t>Gresham</t>
        </is>
      </c>
      <c r="B29" t="inlineStr">
        <is>
          <t>GRS-FAB</t>
        </is>
      </c>
      <c r="C29" t="inlineStr">
        <is>
          <t>Fab Operations</t>
        </is>
      </c>
      <c r="D29" s="7" t="n">
        <v>45992</v>
      </c>
      <c r="E29" s="6" t="n">
        <v>3452238.06</v>
      </c>
      <c r="F29" s="6" t="n">
        <v>3585269.46</v>
      </c>
      <c r="G29" s="6">
        <f>E29-F29</f>
        <v/>
      </c>
      <c r="H29" s="8">
        <f>IFERROR((E29-F29)/E29,"")</f>
        <v/>
      </c>
      <c r="I29" s="6" t="n">
        <v>-807948.63</v>
      </c>
    </row>
    <row r="30">
      <c r="A30" t="inlineStr">
        <is>
          <t>Gresham</t>
        </is>
      </c>
      <c r="B30" t="inlineStr">
        <is>
          <t>GRS-FAB</t>
        </is>
      </c>
      <c r="C30" t="inlineStr">
        <is>
          <t>Fab Operations</t>
        </is>
      </c>
      <c r="D30" s="7" t="n">
        <v>46023</v>
      </c>
      <c r="E30" s="6" t="n">
        <v>3356594.38</v>
      </c>
      <c r="F30" s="6" t="n">
        <v>3506163.73</v>
      </c>
      <c r="G30" s="6">
        <f>E30-F30</f>
        <v/>
      </c>
      <c r="H30" s="8">
        <f>IFERROR((E30-F30)/E30,"")</f>
        <v/>
      </c>
      <c r="I30" s="6" t="n">
        <v>-149569.35</v>
      </c>
    </row>
    <row r="31">
      <c r="A31" t="inlineStr">
        <is>
          <t>Gresham</t>
        </is>
      </c>
      <c r="B31" t="inlineStr">
        <is>
          <t>GRS-FAB</t>
        </is>
      </c>
      <c r="C31" t="inlineStr">
        <is>
          <t>Fab Operations</t>
        </is>
      </c>
      <c r="D31" s="7" t="n">
        <v>46054</v>
      </c>
      <c r="E31" s="6" t="n">
        <v>3227646.92</v>
      </c>
      <c r="F31" s="6" t="n">
        <v>3232755.91</v>
      </c>
      <c r="G31" s="6">
        <f>E31-F31</f>
        <v/>
      </c>
      <c r="H31" s="8">
        <f>IFERROR((E31-F31)/E31,"")</f>
        <v/>
      </c>
      <c r="I31" s="6" t="n">
        <v>-154678.34</v>
      </c>
    </row>
    <row r="32">
      <c r="A32" t="inlineStr">
        <is>
          <t>Gresham</t>
        </is>
      </c>
      <c r="B32" t="inlineStr">
        <is>
          <t>GRS-FAB</t>
        </is>
      </c>
      <c r="C32" t="inlineStr">
        <is>
          <t>Fab Operations</t>
        </is>
      </c>
      <c r="D32" s="7" t="n">
        <v>46082</v>
      </c>
      <c r="E32" s="6" t="n">
        <v>3209642.84</v>
      </c>
      <c r="F32" s="6" t="n">
        <v>3247081.14</v>
      </c>
      <c r="G32" s="6">
        <f>E32-F32</f>
        <v/>
      </c>
      <c r="H32" s="8">
        <f>IFERROR((E32-F32)/E32,"")</f>
        <v/>
      </c>
      <c r="I32" s="6" t="n">
        <v>-192116.64</v>
      </c>
    </row>
    <row r="33">
      <c r="A33" t="inlineStr">
        <is>
          <t>Gresham</t>
        </is>
      </c>
      <c r="B33" t="inlineStr">
        <is>
          <t>GRS-FAB</t>
        </is>
      </c>
      <c r="C33" t="inlineStr">
        <is>
          <t>Fab Operations</t>
        </is>
      </c>
      <c r="D33" s="7" t="n">
        <v>46113</v>
      </c>
      <c r="E33" s="6" t="n">
        <v>3156044.79</v>
      </c>
      <c r="F33" s="6" t="n">
        <v>3318453.32</v>
      </c>
      <c r="G33" s="6">
        <f>E33-F33</f>
        <v/>
      </c>
      <c r="H33" s="8">
        <f>IFERROR((E33-F33)/E33,"")</f>
        <v/>
      </c>
      <c r="I33" s="6" t="n">
        <v>-354525.17</v>
      </c>
    </row>
    <row r="34">
      <c r="A34" t="inlineStr">
        <is>
          <t>Gresham</t>
        </is>
      </c>
      <c r="B34" t="inlineStr">
        <is>
          <t>GRS-FAB</t>
        </is>
      </c>
      <c r="C34" t="inlineStr">
        <is>
          <t>Fab Operations</t>
        </is>
      </c>
      <c r="D34" s="7" t="n">
        <v>46143</v>
      </c>
      <c r="E34" s="6" t="n">
        <v>3167923.48</v>
      </c>
      <c r="F34" s="6" t="n">
        <v>3078039.69</v>
      </c>
      <c r="G34" s="6">
        <f>E34-F34</f>
        <v/>
      </c>
      <c r="H34" s="8">
        <f>IFERROR((E34-F34)/E34,"")</f>
        <v/>
      </c>
      <c r="I34" s="6" t="n">
        <v>-264641.38</v>
      </c>
    </row>
    <row r="35">
      <c r="A35" t="inlineStr">
        <is>
          <t>Gresham</t>
        </is>
      </c>
      <c r="B35" t="inlineStr">
        <is>
          <t>GRS-FAB</t>
        </is>
      </c>
      <c r="C35" t="inlineStr">
        <is>
          <t>Fab Operations</t>
        </is>
      </c>
      <c r="D35" s="7" t="n">
        <v>46174</v>
      </c>
      <c r="E35" s="6" t="n">
        <v>3200667.32</v>
      </c>
      <c r="F35" s="6" t="n">
        <v>3303352.98</v>
      </c>
      <c r="G35" s="6">
        <f>E35-F35</f>
        <v/>
      </c>
      <c r="H35" s="8">
        <f>IFERROR((E35-F35)/E35,"")</f>
        <v/>
      </c>
      <c r="I35" s="6" t="n">
        <v>-367327.04</v>
      </c>
    </row>
    <row r="36">
      <c r="A36" t="inlineStr">
        <is>
          <t>Gresham</t>
        </is>
      </c>
      <c r="B36" t="inlineStr">
        <is>
          <t>GRS-FAB</t>
        </is>
      </c>
      <c r="C36" t="inlineStr">
        <is>
          <t>Fab Operations</t>
        </is>
      </c>
      <c r="D36" s="7" t="n">
        <v>46204</v>
      </c>
      <c r="E36" s="6" t="n">
        <v>3187873.31</v>
      </c>
      <c r="F36" s="6" t="n">
        <v>3186539.99</v>
      </c>
      <c r="G36" s="6">
        <f>E36-F36</f>
        <v/>
      </c>
      <c r="H36" s="8">
        <f>IFERROR((E36-F36)/E36,"")</f>
        <v/>
      </c>
      <c r="I36" s="6" t="n">
        <v>-365993.72</v>
      </c>
    </row>
    <row r="37">
      <c r="A37" t="inlineStr">
        <is>
          <t>Gresham</t>
        </is>
      </c>
      <c r="B37" t="inlineStr">
        <is>
          <t>GRS-FAB</t>
        </is>
      </c>
      <c r="C37" t="inlineStr">
        <is>
          <t>Fab Operations</t>
        </is>
      </c>
      <c r="D37" s="7" t="n">
        <v>46235</v>
      </c>
      <c r="E37" s="6" t="n">
        <v>3350460.91</v>
      </c>
      <c r="F37" s="6" t="n">
        <v>3367008.02</v>
      </c>
      <c r="G37" s="6">
        <f>E37-F37</f>
        <v/>
      </c>
      <c r="H37" s="8">
        <f>IFERROR((E37-F37)/E37,"")</f>
        <v/>
      </c>
      <c r="I37" s="6" t="n">
        <v>-382540.83</v>
      </c>
    </row>
    <row r="38">
      <c r="A38" t="inlineStr">
        <is>
          <t>Gresham</t>
        </is>
      </c>
      <c r="B38" t="inlineStr">
        <is>
          <t>GRS-TNA</t>
        </is>
      </c>
      <c r="C38" t="inlineStr">
        <is>
          <t>Test &amp; Assembly</t>
        </is>
      </c>
      <c r="D38" s="7" t="n">
        <v>45170</v>
      </c>
      <c r="E38" s="6" t="n">
        <v>1497284.96</v>
      </c>
      <c r="F38" s="6" t="n">
        <v>1587702.08</v>
      </c>
      <c r="G38" s="6">
        <f>E38-F38</f>
        <v/>
      </c>
      <c r="H38" s="8">
        <f>IFERROR((E38-F38)/E38,"")</f>
        <v/>
      </c>
      <c r="I38" s="6" t="n">
        <v>-90417.12</v>
      </c>
    </row>
    <row r="39">
      <c r="A39" t="inlineStr">
        <is>
          <t>Gresham</t>
        </is>
      </c>
      <c r="B39" t="inlineStr">
        <is>
          <t>GRS-TNA</t>
        </is>
      </c>
      <c r="C39" t="inlineStr">
        <is>
          <t>Test &amp; Assembly</t>
        </is>
      </c>
      <c r="D39" s="7" t="n">
        <v>45200</v>
      </c>
      <c r="E39" s="6" t="n">
        <v>1515991.3</v>
      </c>
      <c r="F39" s="6" t="n">
        <v>1585525.07</v>
      </c>
      <c r="G39" s="6">
        <f>E39-F39</f>
        <v/>
      </c>
      <c r="H39" s="8">
        <f>IFERROR((E39-F39)/E39,"")</f>
        <v/>
      </c>
      <c r="I39" s="6" t="n">
        <v>-159950.89</v>
      </c>
    </row>
    <row r="40">
      <c r="A40" t="inlineStr">
        <is>
          <t>Gresham</t>
        </is>
      </c>
      <c r="B40" t="inlineStr">
        <is>
          <t>GRS-TNA</t>
        </is>
      </c>
      <c r="C40" t="inlineStr">
        <is>
          <t>Test &amp; Assembly</t>
        </is>
      </c>
      <c r="D40" s="7" t="n">
        <v>45231</v>
      </c>
      <c r="E40" s="6" t="n">
        <v>1516137.57</v>
      </c>
      <c r="F40" s="6" t="n">
        <v>1610861.98</v>
      </c>
      <c r="G40" s="6">
        <f>E40-F40</f>
        <v/>
      </c>
      <c r="H40" s="8">
        <f>IFERROR((E40-F40)/E40,"")</f>
        <v/>
      </c>
      <c r="I40" s="6" t="n">
        <v>-254675.3</v>
      </c>
    </row>
    <row r="41">
      <c r="A41" t="inlineStr">
        <is>
          <t>Gresham</t>
        </is>
      </c>
      <c r="B41" t="inlineStr">
        <is>
          <t>GRS-TNA</t>
        </is>
      </c>
      <c r="C41" t="inlineStr">
        <is>
          <t>Test &amp; Assembly</t>
        </is>
      </c>
      <c r="D41" s="7" t="n">
        <v>45261</v>
      </c>
      <c r="E41" s="6" t="n">
        <v>1483231.65</v>
      </c>
      <c r="F41" s="6" t="n">
        <v>1566322.29</v>
      </c>
      <c r="G41" s="6">
        <f>E41-F41</f>
        <v/>
      </c>
      <c r="H41" s="8">
        <f>IFERROR((E41-F41)/E41,"")</f>
        <v/>
      </c>
      <c r="I41" s="6" t="n">
        <v>-337765.94</v>
      </c>
    </row>
    <row r="42">
      <c r="A42" t="inlineStr">
        <is>
          <t>Gresham</t>
        </is>
      </c>
      <c r="B42" t="inlineStr">
        <is>
          <t>GRS-TNA</t>
        </is>
      </c>
      <c r="C42" t="inlineStr">
        <is>
          <t>Test &amp; Assembly</t>
        </is>
      </c>
      <c r="D42" s="7" t="n">
        <v>45292</v>
      </c>
      <c r="E42" s="6" t="n">
        <v>1487415.2</v>
      </c>
      <c r="F42" s="6" t="n">
        <v>1622239.8</v>
      </c>
      <c r="G42" s="6">
        <f>E42-F42</f>
        <v/>
      </c>
      <c r="H42" s="8">
        <f>IFERROR((E42-F42)/E42,"")</f>
        <v/>
      </c>
      <c r="I42" s="6" t="n">
        <v>-134824.6</v>
      </c>
    </row>
    <row r="43">
      <c r="A43" t="inlineStr">
        <is>
          <t>Gresham</t>
        </is>
      </c>
      <c r="B43" t="inlineStr">
        <is>
          <t>GRS-TNA</t>
        </is>
      </c>
      <c r="C43" t="inlineStr">
        <is>
          <t>Test &amp; Assembly</t>
        </is>
      </c>
      <c r="D43" s="7" t="n">
        <v>45323</v>
      </c>
      <c r="E43" s="6" t="n">
        <v>1446930.28</v>
      </c>
      <c r="F43" s="6" t="n">
        <v>1560187.18</v>
      </c>
      <c r="G43" s="6">
        <f>E43-F43</f>
        <v/>
      </c>
      <c r="H43" s="8">
        <f>IFERROR((E43-F43)/E43,"")</f>
        <v/>
      </c>
      <c r="I43" s="6" t="n">
        <v>-248081.5</v>
      </c>
    </row>
    <row r="44">
      <c r="A44" t="inlineStr">
        <is>
          <t>Gresham</t>
        </is>
      </c>
      <c r="B44" t="inlineStr">
        <is>
          <t>GRS-TNA</t>
        </is>
      </c>
      <c r="C44" t="inlineStr">
        <is>
          <t>Test &amp; Assembly</t>
        </is>
      </c>
      <c r="D44" s="7" t="n">
        <v>45352</v>
      </c>
      <c r="E44" s="6" t="n">
        <v>1409259.88</v>
      </c>
      <c r="F44" s="6" t="n">
        <v>1563006.56</v>
      </c>
      <c r="G44" s="6">
        <f>E44-F44</f>
        <v/>
      </c>
      <c r="H44" s="8">
        <f>IFERROR((E44-F44)/E44,"")</f>
        <v/>
      </c>
      <c r="I44" s="6" t="n">
        <v>-401828.18</v>
      </c>
    </row>
    <row r="45">
      <c r="A45" t="inlineStr">
        <is>
          <t>Gresham</t>
        </is>
      </c>
      <c r="B45" t="inlineStr">
        <is>
          <t>GRS-TNA</t>
        </is>
      </c>
      <c r="C45" t="inlineStr">
        <is>
          <t>Test &amp; Assembly</t>
        </is>
      </c>
      <c r="D45" s="7" t="n">
        <v>45383</v>
      </c>
      <c r="E45" s="6" t="n">
        <v>1376319.32</v>
      </c>
      <c r="F45" s="6" t="n">
        <v>1480470.74</v>
      </c>
      <c r="G45" s="6">
        <f>E45-F45</f>
        <v/>
      </c>
      <c r="H45" s="8">
        <f>IFERROR((E45-F45)/E45,"")</f>
        <v/>
      </c>
      <c r="I45" s="6" t="n">
        <v>-505979.6</v>
      </c>
    </row>
    <row r="46">
      <c r="A46" t="inlineStr">
        <is>
          <t>Gresham</t>
        </is>
      </c>
      <c r="B46" t="inlineStr">
        <is>
          <t>GRS-TNA</t>
        </is>
      </c>
      <c r="C46" t="inlineStr">
        <is>
          <t>Test &amp; Assembly</t>
        </is>
      </c>
      <c r="D46" s="7" t="n">
        <v>45413</v>
      </c>
      <c r="E46" s="6" t="n">
        <v>1369954.15</v>
      </c>
      <c r="F46" s="6" t="n">
        <v>1430643.32</v>
      </c>
      <c r="G46" s="6">
        <f>E46-F46</f>
        <v/>
      </c>
      <c r="H46" s="8">
        <f>IFERROR((E46-F46)/E46,"")</f>
        <v/>
      </c>
      <c r="I46" s="6" t="n">
        <v>-566668.77</v>
      </c>
    </row>
    <row r="47">
      <c r="A47" t="inlineStr">
        <is>
          <t>Gresham</t>
        </is>
      </c>
      <c r="B47" t="inlineStr">
        <is>
          <t>GRS-TNA</t>
        </is>
      </c>
      <c r="C47" t="inlineStr">
        <is>
          <t>Test &amp; Assembly</t>
        </is>
      </c>
      <c r="D47" s="7" t="n">
        <v>45444</v>
      </c>
      <c r="E47" s="6" t="n">
        <v>1375709.42</v>
      </c>
      <c r="F47" s="6" t="n">
        <v>1413165.89</v>
      </c>
      <c r="G47" s="6">
        <f>E47-F47</f>
        <v/>
      </c>
      <c r="H47" s="8">
        <f>IFERROR((E47-F47)/E47,"")</f>
        <v/>
      </c>
      <c r="I47" s="6" t="n">
        <v>-604125.24</v>
      </c>
    </row>
    <row r="48">
      <c r="A48" t="inlineStr">
        <is>
          <t>Gresham</t>
        </is>
      </c>
      <c r="B48" t="inlineStr">
        <is>
          <t>GRS-TNA</t>
        </is>
      </c>
      <c r="C48" t="inlineStr">
        <is>
          <t>Test &amp; Assembly</t>
        </is>
      </c>
      <c r="D48" s="7" t="n">
        <v>45474</v>
      </c>
      <c r="E48" s="6" t="n">
        <v>1425446.62</v>
      </c>
      <c r="F48" s="6" t="n">
        <v>1451855.66</v>
      </c>
      <c r="G48" s="6">
        <f>E48-F48</f>
        <v/>
      </c>
      <c r="H48" s="8">
        <f>IFERROR((E48-F48)/E48,"")</f>
        <v/>
      </c>
      <c r="I48" s="6" t="n">
        <v>-630534.28</v>
      </c>
    </row>
    <row r="49">
      <c r="A49" t="inlineStr">
        <is>
          <t>Gresham</t>
        </is>
      </c>
      <c r="B49" t="inlineStr">
        <is>
          <t>GRS-TNA</t>
        </is>
      </c>
      <c r="C49" t="inlineStr">
        <is>
          <t>Test &amp; Assembly</t>
        </is>
      </c>
      <c r="D49" s="7" t="n">
        <v>45505</v>
      </c>
      <c r="E49" s="6" t="n">
        <v>1427344.14</v>
      </c>
      <c r="F49" s="6" t="n">
        <v>1407910.88</v>
      </c>
      <c r="G49" s="6">
        <f>E49-F49</f>
        <v/>
      </c>
      <c r="H49" s="8">
        <f>IFERROR((E49-F49)/E49,"")</f>
        <v/>
      </c>
      <c r="I49" s="6" t="n">
        <v>-611101.02</v>
      </c>
    </row>
    <row r="50">
      <c r="A50" t="inlineStr">
        <is>
          <t>Gresham</t>
        </is>
      </c>
      <c r="B50" t="inlineStr">
        <is>
          <t>GRS-TNA</t>
        </is>
      </c>
      <c r="C50" t="inlineStr">
        <is>
          <t>Test &amp; Assembly</t>
        </is>
      </c>
      <c r="D50" s="7" t="n">
        <v>45536</v>
      </c>
      <c r="E50" s="6" t="n">
        <v>1457394.06</v>
      </c>
      <c r="F50" s="6" t="n">
        <v>1537217.75</v>
      </c>
      <c r="G50" s="6">
        <f>E50-F50</f>
        <v/>
      </c>
      <c r="H50" s="8">
        <f>IFERROR((E50-F50)/E50,"")</f>
        <v/>
      </c>
      <c r="I50" s="6" t="n">
        <v>-690924.71</v>
      </c>
    </row>
    <row r="51">
      <c r="A51" t="inlineStr">
        <is>
          <t>Gresham</t>
        </is>
      </c>
      <c r="B51" t="inlineStr">
        <is>
          <t>GRS-TNA</t>
        </is>
      </c>
      <c r="C51" t="inlineStr">
        <is>
          <t>Test &amp; Assembly</t>
        </is>
      </c>
      <c r="D51" s="7" t="n">
        <v>45566</v>
      </c>
      <c r="E51" s="6" t="n">
        <v>1496623.7</v>
      </c>
      <c r="F51" s="6" t="n">
        <v>1468632.19</v>
      </c>
      <c r="G51" s="6">
        <f>E51-F51</f>
        <v/>
      </c>
      <c r="H51" s="8">
        <f>IFERROR((E51-F51)/E51,"")</f>
        <v/>
      </c>
      <c r="I51" s="6" t="n">
        <v>-662933.2</v>
      </c>
    </row>
    <row r="52">
      <c r="A52" t="inlineStr">
        <is>
          <t>Gresham</t>
        </is>
      </c>
      <c r="B52" t="inlineStr">
        <is>
          <t>GRS-TNA</t>
        </is>
      </c>
      <c r="C52" t="inlineStr">
        <is>
          <t>Test &amp; Assembly</t>
        </is>
      </c>
      <c r="D52" s="7" t="n">
        <v>45597</v>
      </c>
      <c r="E52" s="6" t="n">
        <v>1498459.04</v>
      </c>
      <c r="F52" s="6" t="n">
        <v>1554760.37</v>
      </c>
      <c r="G52" s="6">
        <f>E52-F52</f>
        <v/>
      </c>
      <c r="H52" s="8">
        <f>IFERROR((E52-F52)/E52,"")</f>
        <v/>
      </c>
      <c r="I52" s="6" t="n">
        <v>-719234.53</v>
      </c>
    </row>
    <row r="53">
      <c r="A53" t="inlineStr">
        <is>
          <t>Gresham</t>
        </is>
      </c>
      <c r="B53" t="inlineStr">
        <is>
          <t>GRS-TNA</t>
        </is>
      </c>
      <c r="C53" t="inlineStr">
        <is>
          <t>Test &amp; Assembly</t>
        </is>
      </c>
      <c r="D53" s="7" t="n">
        <v>45627</v>
      </c>
      <c r="E53" s="6" t="n">
        <v>1490246.97</v>
      </c>
      <c r="F53" s="6" t="n">
        <v>1574015.27</v>
      </c>
      <c r="G53" s="6">
        <f>E53-F53</f>
        <v/>
      </c>
      <c r="H53" s="8">
        <f>IFERROR((E53-F53)/E53,"")</f>
        <v/>
      </c>
      <c r="I53" s="6" t="n">
        <v>-803002.83</v>
      </c>
    </row>
    <row r="54">
      <c r="A54" t="inlineStr">
        <is>
          <t>Gresham</t>
        </is>
      </c>
      <c r="B54" t="inlineStr">
        <is>
          <t>GRS-TNA</t>
        </is>
      </c>
      <c r="C54" t="inlineStr">
        <is>
          <t>Test &amp; Assembly</t>
        </is>
      </c>
      <c r="D54" s="7" t="n">
        <v>45658</v>
      </c>
      <c r="E54" s="6" t="n">
        <v>1416795.08</v>
      </c>
      <c r="F54" s="6" t="n">
        <v>1451055.58</v>
      </c>
      <c r="G54" s="6">
        <f>E54-F54</f>
        <v/>
      </c>
      <c r="H54" s="8">
        <f>IFERROR((E54-F54)/E54,"")</f>
        <v/>
      </c>
      <c r="I54" s="6" t="n">
        <v>-34260.5</v>
      </c>
    </row>
    <row r="55">
      <c r="A55" t="inlineStr">
        <is>
          <t>Gresham</t>
        </is>
      </c>
      <c r="B55" t="inlineStr">
        <is>
          <t>GRS-TNA</t>
        </is>
      </c>
      <c r="C55" t="inlineStr">
        <is>
          <t>Test &amp; Assembly</t>
        </is>
      </c>
      <c r="D55" s="7" t="n">
        <v>45689</v>
      </c>
      <c r="E55" s="6" t="n">
        <v>1415377.54</v>
      </c>
      <c r="F55" s="6" t="n">
        <v>1426741.94</v>
      </c>
      <c r="G55" s="6">
        <f>E55-F55</f>
        <v/>
      </c>
      <c r="H55" s="8">
        <f>IFERROR((E55-F55)/E55,"")</f>
        <v/>
      </c>
      <c r="I55" s="6" t="n">
        <v>-45624.9</v>
      </c>
    </row>
    <row r="56">
      <c r="A56" t="inlineStr">
        <is>
          <t>Gresham</t>
        </is>
      </c>
      <c r="B56" t="inlineStr">
        <is>
          <t>GRS-TNA</t>
        </is>
      </c>
      <c r="C56" t="inlineStr">
        <is>
          <t>Test &amp; Assembly</t>
        </is>
      </c>
      <c r="D56" s="7" t="n">
        <v>45717</v>
      </c>
      <c r="E56" s="6" t="n">
        <v>1339428.91</v>
      </c>
      <c r="F56" s="6" t="n">
        <v>1420090.29</v>
      </c>
      <c r="G56" s="6">
        <f>E56-F56</f>
        <v/>
      </c>
      <c r="H56" s="8">
        <f>IFERROR((E56-F56)/E56,"")</f>
        <v/>
      </c>
      <c r="I56" s="6" t="n">
        <v>-126286.28</v>
      </c>
    </row>
    <row r="57">
      <c r="A57" t="inlineStr">
        <is>
          <t>Gresham</t>
        </is>
      </c>
      <c r="B57" t="inlineStr">
        <is>
          <t>GRS-TNA</t>
        </is>
      </c>
      <c r="C57" t="inlineStr">
        <is>
          <t>Test &amp; Assembly</t>
        </is>
      </c>
      <c r="D57" s="7" t="n">
        <v>45748</v>
      </c>
      <c r="E57" s="6" t="n">
        <v>1352451.91</v>
      </c>
      <c r="F57" s="6" t="n">
        <v>1439756.85</v>
      </c>
      <c r="G57" s="6">
        <f>E57-F57</f>
        <v/>
      </c>
      <c r="H57" s="8">
        <f>IFERROR((E57-F57)/E57,"")</f>
        <v/>
      </c>
      <c r="I57" s="6" t="n">
        <v>-213591.22</v>
      </c>
    </row>
    <row r="58">
      <c r="A58" t="inlineStr">
        <is>
          <t>Gresham</t>
        </is>
      </c>
      <c r="B58" t="inlineStr">
        <is>
          <t>GRS-TNA</t>
        </is>
      </c>
      <c r="C58" t="inlineStr">
        <is>
          <t>Test &amp; Assembly</t>
        </is>
      </c>
      <c r="D58" s="7" t="n">
        <v>45778</v>
      </c>
      <c r="E58" s="6" t="n">
        <v>1340970.88</v>
      </c>
      <c r="F58" s="6" t="n">
        <v>1459916.38</v>
      </c>
      <c r="G58" s="6">
        <f>E58-F58</f>
        <v/>
      </c>
      <c r="H58" s="8">
        <f>IFERROR((E58-F58)/E58,"")</f>
        <v/>
      </c>
      <c r="I58" s="6" t="n">
        <v>-332536.72</v>
      </c>
    </row>
    <row r="59">
      <c r="A59" t="inlineStr">
        <is>
          <t>Gresham</t>
        </is>
      </c>
      <c r="B59" t="inlineStr">
        <is>
          <t>GRS-TNA</t>
        </is>
      </c>
      <c r="C59" t="inlineStr">
        <is>
          <t>Test &amp; Assembly</t>
        </is>
      </c>
      <c r="D59" s="7" t="n">
        <v>45809</v>
      </c>
      <c r="E59" s="6" t="n">
        <v>1347394.57</v>
      </c>
      <c r="F59" s="6" t="n">
        <v>1409079.43</v>
      </c>
      <c r="G59" s="6">
        <f>E59-F59</f>
        <v/>
      </c>
      <c r="H59" s="8">
        <f>IFERROR((E59-F59)/E59,"")</f>
        <v/>
      </c>
      <c r="I59" s="6" t="n">
        <v>-394221.58</v>
      </c>
    </row>
    <row r="60">
      <c r="A60" t="inlineStr">
        <is>
          <t>Gresham</t>
        </is>
      </c>
      <c r="B60" t="inlineStr">
        <is>
          <t>GRS-TNA</t>
        </is>
      </c>
      <c r="C60" t="inlineStr">
        <is>
          <t>Test &amp; Assembly</t>
        </is>
      </c>
      <c r="D60" s="7" t="n">
        <v>45839</v>
      </c>
      <c r="E60" s="6" t="n">
        <v>1377093.66</v>
      </c>
      <c r="F60" s="6" t="n">
        <v>1364357.22</v>
      </c>
      <c r="G60" s="6">
        <f>E60-F60</f>
        <v/>
      </c>
      <c r="H60" s="8">
        <f>IFERROR((E60-F60)/E60,"")</f>
        <v/>
      </c>
      <c r="I60" s="6" t="n">
        <v>-381485.14</v>
      </c>
    </row>
    <row r="61">
      <c r="A61" t="inlineStr">
        <is>
          <t>Gresham</t>
        </is>
      </c>
      <c r="B61" t="inlineStr">
        <is>
          <t>GRS-TNA</t>
        </is>
      </c>
      <c r="C61" t="inlineStr">
        <is>
          <t>Test &amp; Assembly</t>
        </is>
      </c>
      <c r="D61" s="7" t="n">
        <v>45870</v>
      </c>
      <c r="E61" s="6" t="n">
        <v>1408389.06</v>
      </c>
      <c r="F61" s="6" t="n">
        <v>1337538.68</v>
      </c>
      <c r="G61" s="6">
        <f>E61-F61</f>
        <v/>
      </c>
      <c r="H61" s="8">
        <f>IFERROR((E61-F61)/E61,"")</f>
        <v/>
      </c>
      <c r="I61" s="6" t="n">
        <v>-310634.76</v>
      </c>
    </row>
    <row r="62">
      <c r="A62" t="inlineStr">
        <is>
          <t>Gresham</t>
        </is>
      </c>
      <c r="B62" t="inlineStr">
        <is>
          <t>GRS-TNA</t>
        </is>
      </c>
      <c r="C62" t="inlineStr">
        <is>
          <t>Test &amp; Assembly</t>
        </is>
      </c>
      <c r="D62" s="7" t="n">
        <v>45901</v>
      </c>
      <c r="E62" s="6" t="n">
        <v>1460569.55</v>
      </c>
      <c r="F62" s="6" t="n">
        <v>1470010.89</v>
      </c>
      <c r="G62" s="6">
        <f>E62-F62</f>
        <v/>
      </c>
      <c r="H62" s="8">
        <f>IFERROR((E62-F62)/E62,"")</f>
        <v/>
      </c>
      <c r="I62" s="6" t="n">
        <v>-320076.1</v>
      </c>
    </row>
    <row r="63">
      <c r="A63" t="inlineStr">
        <is>
          <t>Gresham</t>
        </is>
      </c>
      <c r="B63" t="inlineStr">
        <is>
          <t>GRS-TNA</t>
        </is>
      </c>
      <c r="C63" t="inlineStr">
        <is>
          <t>Test &amp; Assembly</t>
        </is>
      </c>
      <c r="D63" s="7" t="n">
        <v>45931</v>
      </c>
      <c r="E63" s="6" t="n">
        <v>1449168.63</v>
      </c>
      <c r="F63" s="6" t="n">
        <v>1382990.73</v>
      </c>
      <c r="G63" s="6">
        <f>E63-F63</f>
        <v/>
      </c>
      <c r="H63" s="8">
        <f>IFERROR((E63-F63)/E63,"")</f>
        <v/>
      </c>
      <c r="I63" s="6" t="n">
        <v>-253898.2</v>
      </c>
    </row>
    <row r="64">
      <c r="A64" t="inlineStr">
        <is>
          <t>Gresham</t>
        </is>
      </c>
      <c r="B64" t="inlineStr">
        <is>
          <t>GRS-TNA</t>
        </is>
      </c>
      <c r="C64" t="inlineStr">
        <is>
          <t>Test &amp; Assembly</t>
        </is>
      </c>
      <c r="D64" s="7" t="n">
        <v>45962</v>
      </c>
      <c r="E64" s="6" t="n">
        <v>1456313.94</v>
      </c>
      <c r="F64" s="6" t="n">
        <v>1467476.69</v>
      </c>
      <c r="G64" s="6">
        <f>E64-F64</f>
        <v/>
      </c>
      <c r="H64" s="8">
        <f>IFERROR((E64-F64)/E64,"")</f>
        <v/>
      </c>
      <c r="I64" s="6" t="n">
        <v>-265060.95</v>
      </c>
    </row>
    <row r="65">
      <c r="A65" t="inlineStr">
        <is>
          <t>Gresham</t>
        </is>
      </c>
      <c r="B65" t="inlineStr">
        <is>
          <t>GRS-TNA</t>
        </is>
      </c>
      <c r="C65" t="inlineStr">
        <is>
          <t>Test &amp; Assembly</t>
        </is>
      </c>
      <c r="D65" s="7" t="n">
        <v>45992</v>
      </c>
      <c r="E65" s="6" t="n">
        <v>1444528.96</v>
      </c>
      <c r="F65" s="6" t="n">
        <v>1458903.33</v>
      </c>
      <c r="G65" s="6">
        <f>E65-F65</f>
        <v/>
      </c>
      <c r="H65" s="8">
        <f>IFERROR((E65-F65)/E65,"")</f>
        <v/>
      </c>
      <c r="I65" s="6" t="n">
        <v>-279435.32</v>
      </c>
    </row>
    <row r="66">
      <c r="A66" t="inlineStr">
        <is>
          <t>Gresham</t>
        </is>
      </c>
      <c r="B66" t="inlineStr">
        <is>
          <t>GRS-TNA</t>
        </is>
      </c>
      <c r="C66" t="inlineStr">
        <is>
          <t>Test &amp; Assembly</t>
        </is>
      </c>
      <c r="D66" s="7" t="n">
        <v>46023</v>
      </c>
      <c r="E66" s="6" t="n">
        <v>1388430.15</v>
      </c>
      <c r="F66" s="6" t="n">
        <v>1458064.25</v>
      </c>
      <c r="G66" s="6">
        <f>E66-F66</f>
        <v/>
      </c>
      <c r="H66" s="8">
        <f>IFERROR((E66-F66)/E66,"")</f>
        <v/>
      </c>
      <c r="I66" s="6" t="n">
        <v>-69634.10000000001</v>
      </c>
    </row>
    <row r="67">
      <c r="A67" t="inlineStr">
        <is>
          <t>Gresham</t>
        </is>
      </c>
      <c r="B67" t="inlineStr">
        <is>
          <t>GRS-TNA</t>
        </is>
      </c>
      <c r="C67" t="inlineStr">
        <is>
          <t>Test &amp; Assembly</t>
        </is>
      </c>
      <c r="D67" s="7" t="n">
        <v>46054</v>
      </c>
      <c r="E67" s="6" t="n">
        <v>1364647.86</v>
      </c>
      <c r="F67" s="6" t="n">
        <v>1408907.09</v>
      </c>
      <c r="G67" s="6">
        <f>E67-F67</f>
        <v/>
      </c>
      <c r="H67" s="8">
        <f>IFERROR((E67-F67)/E67,"")</f>
        <v/>
      </c>
      <c r="I67" s="6" t="n">
        <v>-113893.33</v>
      </c>
    </row>
    <row r="68">
      <c r="A68" t="inlineStr">
        <is>
          <t>Gresham</t>
        </is>
      </c>
      <c r="B68" t="inlineStr">
        <is>
          <t>GRS-TNA</t>
        </is>
      </c>
      <c r="C68" t="inlineStr">
        <is>
          <t>Test &amp; Assembly</t>
        </is>
      </c>
      <c r="D68" s="7" t="n">
        <v>46082</v>
      </c>
      <c r="E68" s="6" t="n">
        <v>1346559.63</v>
      </c>
      <c r="F68" s="6" t="n">
        <v>1326755.87</v>
      </c>
      <c r="G68" s="6">
        <f>E68-F68</f>
        <v/>
      </c>
      <c r="H68" s="8">
        <f>IFERROR((E68-F68)/E68,"")</f>
        <v/>
      </c>
      <c r="I68" s="6" t="n">
        <v>-94089.57000000001</v>
      </c>
    </row>
    <row r="69">
      <c r="A69" t="inlineStr">
        <is>
          <t>Gresham</t>
        </is>
      </c>
      <c r="B69" t="inlineStr">
        <is>
          <t>GRS-TNA</t>
        </is>
      </c>
      <c r="C69" t="inlineStr">
        <is>
          <t>Test &amp; Assembly</t>
        </is>
      </c>
      <c r="D69" s="7" t="n">
        <v>46113</v>
      </c>
      <c r="E69" s="6" t="n">
        <v>1300515.18</v>
      </c>
      <c r="F69" s="6" t="n">
        <v>1333552.45</v>
      </c>
      <c r="G69" s="6">
        <f>E69-F69</f>
        <v/>
      </c>
      <c r="H69" s="8">
        <f>IFERROR((E69-F69)/E69,"")</f>
        <v/>
      </c>
      <c r="I69" s="6" t="n">
        <v>-127126.84</v>
      </c>
    </row>
    <row r="70">
      <c r="A70" t="inlineStr">
        <is>
          <t>Gresham</t>
        </is>
      </c>
      <c r="B70" t="inlineStr">
        <is>
          <t>GRS-TNA</t>
        </is>
      </c>
      <c r="C70" t="inlineStr">
        <is>
          <t>Test &amp; Assembly</t>
        </is>
      </c>
      <c r="D70" s="7" t="n">
        <v>46143</v>
      </c>
      <c r="E70" s="6" t="n">
        <v>1298491.76</v>
      </c>
      <c r="F70" s="6" t="n">
        <v>1277248.7</v>
      </c>
      <c r="G70" s="6">
        <f>E70-F70</f>
        <v/>
      </c>
      <c r="H70" s="8">
        <f>IFERROR((E70-F70)/E70,"")</f>
        <v/>
      </c>
      <c r="I70" s="6" t="n">
        <v>-105883.78</v>
      </c>
    </row>
    <row r="71">
      <c r="A71" t="inlineStr">
        <is>
          <t>Gresham</t>
        </is>
      </c>
      <c r="B71" t="inlineStr">
        <is>
          <t>GRS-TNA</t>
        </is>
      </c>
      <c r="C71" t="inlineStr">
        <is>
          <t>Test &amp; Assembly</t>
        </is>
      </c>
      <c r="D71" s="7" t="n">
        <v>46174</v>
      </c>
      <c r="E71" s="6" t="n">
        <v>1331085.94</v>
      </c>
      <c r="F71" s="6" t="n">
        <v>1292757.25</v>
      </c>
      <c r="G71" s="6">
        <f>E71-F71</f>
        <v/>
      </c>
      <c r="H71" s="8">
        <f>IFERROR((E71-F71)/E71,"")</f>
        <v/>
      </c>
      <c r="I71" s="6" t="n">
        <v>-67555.09</v>
      </c>
    </row>
    <row r="72">
      <c r="A72" t="inlineStr">
        <is>
          <t>Gresham</t>
        </is>
      </c>
      <c r="B72" t="inlineStr">
        <is>
          <t>GRS-TNA</t>
        </is>
      </c>
      <c r="C72" t="inlineStr">
        <is>
          <t>Test &amp; Assembly</t>
        </is>
      </c>
      <c r="D72" s="7" t="n">
        <v>46204</v>
      </c>
      <c r="E72" s="6" t="n">
        <v>1358022.9</v>
      </c>
      <c r="F72" s="6" t="n">
        <v>1393956.01</v>
      </c>
      <c r="G72" s="6">
        <f>E72-F72</f>
        <v/>
      </c>
      <c r="H72" s="8">
        <f>IFERROR((E72-F72)/E72,"")</f>
        <v/>
      </c>
      <c r="I72" s="6" t="n">
        <v>-103488.2</v>
      </c>
    </row>
    <row r="73">
      <c r="A73" t="inlineStr">
        <is>
          <t>Gresham</t>
        </is>
      </c>
      <c r="B73" t="inlineStr">
        <is>
          <t>GRS-TNA</t>
        </is>
      </c>
      <c r="C73" t="inlineStr">
        <is>
          <t>Test &amp; Assembly</t>
        </is>
      </c>
      <c r="D73" s="7" t="n">
        <v>46235</v>
      </c>
      <c r="E73" s="6" t="n">
        <v>1382093.06</v>
      </c>
      <c r="F73" s="6" t="n">
        <v>1330051.83</v>
      </c>
      <c r="G73" s="6">
        <f>E73-F73</f>
        <v/>
      </c>
      <c r="H73" s="8">
        <f>IFERROR((E73-F73)/E73,"")</f>
        <v/>
      </c>
      <c r="I73" s="6" t="n">
        <v>-51446.97</v>
      </c>
    </row>
    <row r="74">
      <c r="A74" t="inlineStr">
        <is>
          <t>Gresham</t>
        </is>
      </c>
      <c r="B74" t="inlineStr">
        <is>
          <t>GRS-FAC</t>
        </is>
      </c>
      <c r="C74" t="inlineStr">
        <is>
          <t>Facilities</t>
        </is>
      </c>
      <c r="D74" s="7" t="n">
        <v>45170</v>
      </c>
      <c r="E74" s="6" t="n">
        <v>1474307.83</v>
      </c>
      <c r="F74" s="6" t="n">
        <v>1350135.33</v>
      </c>
      <c r="G74" s="6">
        <f>E74-F74</f>
        <v/>
      </c>
      <c r="H74" s="8">
        <f>IFERROR((E74-F74)/E74,"")</f>
        <v/>
      </c>
      <c r="I74" s="6" t="n">
        <v>124172.5</v>
      </c>
    </row>
    <row r="75">
      <c r="A75" t="inlineStr">
        <is>
          <t>Gresham</t>
        </is>
      </c>
      <c r="B75" t="inlineStr">
        <is>
          <t>GRS-FAC</t>
        </is>
      </c>
      <c r="C75" t="inlineStr">
        <is>
          <t>Facilities</t>
        </is>
      </c>
      <c r="D75" s="7" t="n">
        <v>45200</v>
      </c>
      <c r="E75" s="6" t="n">
        <v>1458807.81</v>
      </c>
      <c r="F75" s="6" t="n">
        <v>1457879.02</v>
      </c>
      <c r="G75" s="6">
        <f>E75-F75</f>
        <v/>
      </c>
      <c r="H75" s="8">
        <f>IFERROR((E75-F75)/E75,"")</f>
        <v/>
      </c>
      <c r="I75" s="6" t="n">
        <v>125101.29</v>
      </c>
    </row>
    <row r="76">
      <c r="A76" t="inlineStr">
        <is>
          <t>Gresham</t>
        </is>
      </c>
      <c r="B76" t="inlineStr">
        <is>
          <t>GRS-FAC</t>
        </is>
      </c>
      <c r="C76" t="inlineStr">
        <is>
          <t>Facilities</t>
        </is>
      </c>
      <c r="D76" s="7" t="n">
        <v>45231</v>
      </c>
      <c r="E76" s="6" t="n">
        <v>1609913.44</v>
      </c>
      <c r="F76" s="6" t="n">
        <v>1581171.79</v>
      </c>
      <c r="G76" s="6">
        <f>E76-F76</f>
        <v/>
      </c>
      <c r="H76" s="8">
        <f>IFERROR((E76-F76)/E76,"")</f>
        <v/>
      </c>
      <c r="I76" s="6" t="n">
        <v>153842.94</v>
      </c>
    </row>
    <row r="77">
      <c r="A77" t="inlineStr">
        <is>
          <t>Gresham</t>
        </is>
      </c>
      <c r="B77" t="inlineStr">
        <is>
          <t>GRS-FAC</t>
        </is>
      </c>
      <c r="C77" t="inlineStr">
        <is>
          <t>Facilities</t>
        </is>
      </c>
      <c r="D77" s="7" t="n">
        <v>45261</v>
      </c>
      <c r="E77" s="6" t="n">
        <v>1592409.23</v>
      </c>
      <c r="F77" s="6" t="n">
        <v>1505337.09</v>
      </c>
      <c r="G77" s="6">
        <f>E77-F77</f>
        <v/>
      </c>
      <c r="H77" s="8">
        <f>IFERROR((E77-F77)/E77,"")</f>
        <v/>
      </c>
      <c r="I77" s="6" t="n">
        <v>240915.08</v>
      </c>
    </row>
    <row r="78">
      <c r="A78" t="inlineStr">
        <is>
          <t>Gresham</t>
        </is>
      </c>
      <c r="B78" t="inlineStr">
        <is>
          <t>GRS-FAC</t>
        </is>
      </c>
      <c r="C78" t="inlineStr">
        <is>
          <t>Facilities</t>
        </is>
      </c>
      <c r="D78" s="7" t="n">
        <v>45292</v>
      </c>
      <c r="E78" s="6" t="n">
        <v>1538177.13</v>
      </c>
      <c r="F78" s="6" t="n">
        <v>1406110.95</v>
      </c>
      <c r="G78" s="6">
        <f>E78-F78</f>
        <v/>
      </c>
      <c r="H78" s="8">
        <f>IFERROR((E78-F78)/E78,"")</f>
        <v/>
      </c>
      <c r="I78" s="6" t="n">
        <v>132066.18</v>
      </c>
    </row>
    <row r="79">
      <c r="A79" t="inlineStr">
        <is>
          <t>Gresham</t>
        </is>
      </c>
      <c r="B79" t="inlineStr">
        <is>
          <t>GRS-FAC</t>
        </is>
      </c>
      <c r="C79" t="inlineStr">
        <is>
          <t>Facilities</t>
        </is>
      </c>
      <c r="D79" s="7" t="n">
        <v>45323</v>
      </c>
      <c r="E79" s="6" t="n">
        <v>1453226.19</v>
      </c>
      <c r="F79" s="6" t="n">
        <v>1337852.37</v>
      </c>
      <c r="G79" s="6">
        <f>E79-F79</f>
        <v/>
      </c>
      <c r="H79" s="8">
        <f>IFERROR((E79-F79)/E79,"")</f>
        <v/>
      </c>
      <c r="I79" s="6" t="n">
        <v>247440</v>
      </c>
    </row>
    <row r="80">
      <c r="A80" t="inlineStr">
        <is>
          <t>Gresham</t>
        </is>
      </c>
      <c r="B80" t="inlineStr">
        <is>
          <t>GRS-FAC</t>
        </is>
      </c>
      <c r="C80" t="inlineStr">
        <is>
          <t>Facilities</t>
        </is>
      </c>
      <c r="D80" s="7" t="n">
        <v>45352</v>
      </c>
      <c r="E80" s="6" t="n">
        <v>1367795.73</v>
      </c>
      <c r="F80" s="6" t="n">
        <v>1284652.79</v>
      </c>
      <c r="G80" s="6">
        <f>E80-F80</f>
        <v/>
      </c>
      <c r="H80" s="8">
        <f>IFERROR((E80-F80)/E80,"")</f>
        <v/>
      </c>
      <c r="I80" s="6" t="n">
        <v>330582.94</v>
      </c>
    </row>
    <row r="81">
      <c r="A81" t="inlineStr">
        <is>
          <t>Gresham</t>
        </is>
      </c>
      <c r="B81" t="inlineStr">
        <is>
          <t>GRS-FAC</t>
        </is>
      </c>
      <c r="C81" t="inlineStr">
        <is>
          <t>Facilities</t>
        </is>
      </c>
      <c r="D81" s="7" t="n">
        <v>45383</v>
      </c>
      <c r="E81" s="6" t="n">
        <v>1312048.15</v>
      </c>
      <c r="F81" s="6" t="n">
        <v>1334302.68</v>
      </c>
      <c r="G81" s="6">
        <f>E81-F81</f>
        <v/>
      </c>
      <c r="H81" s="8">
        <f>IFERROR((E81-F81)/E81,"")</f>
        <v/>
      </c>
      <c r="I81" s="6" t="n">
        <v>308328.41</v>
      </c>
    </row>
    <row r="82">
      <c r="A82" t="inlineStr">
        <is>
          <t>Gresham</t>
        </is>
      </c>
      <c r="B82" t="inlineStr">
        <is>
          <t>GRS-FAC</t>
        </is>
      </c>
      <c r="C82" t="inlineStr">
        <is>
          <t>Facilities</t>
        </is>
      </c>
      <c r="D82" s="7" t="n">
        <v>45413</v>
      </c>
      <c r="E82" s="6" t="n">
        <v>1322398.37</v>
      </c>
      <c r="F82" s="6" t="n">
        <v>1245706.75</v>
      </c>
      <c r="G82" s="6">
        <f>E82-F82</f>
        <v/>
      </c>
      <c r="H82" s="8">
        <f>IFERROR((E82-F82)/E82,"")</f>
        <v/>
      </c>
      <c r="I82" s="6" t="n">
        <v>385020.03</v>
      </c>
    </row>
    <row r="83">
      <c r="A83" t="inlineStr">
        <is>
          <t>Gresham</t>
        </is>
      </c>
      <c r="B83" t="inlineStr">
        <is>
          <t>GRS-FAC</t>
        </is>
      </c>
      <c r="C83" t="inlineStr">
        <is>
          <t>Facilities</t>
        </is>
      </c>
      <c r="D83" s="7" t="n">
        <v>45444</v>
      </c>
      <c r="E83" s="6" t="n">
        <v>1307840.3</v>
      </c>
      <c r="F83" s="6" t="n">
        <v>1264986.78</v>
      </c>
      <c r="G83" s="6">
        <f>E83-F83</f>
        <v/>
      </c>
      <c r="H83" s="8">
        <f>IFERROR((E83-F83)/E83,"")</f>
        <v/>
      </c>
      <c r="I83" s="6" t="n">
        <v>427873.55</v>
      </c>
    </row>
    <row r="84">
      <c r="A84" t="inlineStr">
        <is>
          <t>Gresham</t>
        </is>
      </c>
      <c r="B84" t="inlineStr">
        <is>
          <t>GRS-FAC</t>
        </is>
      </c>
      <c r="C84" t="inlineStr">
        <is>
          <t>Facilities</t>
        </is>
      </c>
      <c r="D84" s="7" t="n">
        <v>45474</v>
      </c>
      <c r="E84" s="6" t="n">
        <v>1460986.98</v>
      </c>
      <c r="F84" s="6" t="n">
        <v>1466384.12</v>
      </c>
      <c r="G84" s="6">
        <f>E84-F84</f>
        <v/>
      </c>
      <c r="H84" s="8">
        <f>IFERROR((E84-F84)/E84,"")</f>
        <v/>
      </c>
      <c r="I84" s="6" t="n">
        <v>422476.41</v>
      </c>
    </row>
    <row r="85">
      <c r="A85" t="inlineStr">
        <is>
          <t>Gresham</t>
        </is>
      </c>
      <c r="B85" t="inlineStr">
        <is>
          <t>GRS-FAC</t>
        </is>
      </c>
      <c r="C85" t="inlineStr">
        <is>
          <t>Facilities</t>
        </is>
      </c>
      <c r="D85" s="7" t="n">
        <v>45505</v>
      </c>
      <c r="E85" s="6" t="n">
        <v>1480714.05</v>
      </c>
      <c r="F85" s="6" t="n">
        <v>1456207.35</v>
      </c>
      <c r="G85" s="6">
        <f>E85-F85</f>
        <v/>
      </c>
      <c r="H85" s="8">
        <f>IFERROR((E85-F85)/E85,"")</f>
        <v/>
      </c>
      <c r="I85" s="6" t="n">
        <v>446983.11</v>
      </c>
    </row>
    <row r="86">
      <c r="A86" t="inlineStr">
        <is>
          <t>Gresham</t>
        </is>
      </c>
      <c r="B86" t="inlineStr">
        <is>
          <t>GRS-FAC</t>
        </is>
      </c>
      <c r="C86" t="inlineStr">
        <is>
          <t>Facilities</t>
        </is>
      </c>
      <c r="D86" s="7" t="n">
        <v>45536</v>
      </c>
      <c r="E86" s="6" t="n">
        <v>1395091.64</v>
      </c>
      <c r="F86" s="6" t="n">
        <v>1409428.54</v>
      </c>
      <c r="G86" s="6">
        <f>E86-F86</f>
        <v/>
      </c>
      <c r="H86" s="8">
        <f>IFERROR((E86-F86)/E86,"")</f>
        <v/>
      </c>
      <c r="I86" s="6" t="n">
        <v>432646.21</v>
      </c>
    </row>
    <row r="87">
      <c r="A87" t="inlineStr">
        <is>
          <t>Gresham</t>
        </is>
      </c>
      <c r="B87" t="inlineStr">
        <is>
          <t>GRS-FAC</t>
        </is>
      </c>
      <c r="C87" t="inlineStr">
        <is>
          <t>Facilities</t>
        </is>
      </c>
      <c r="D87" s="7" t="n">
        <v>45566</v>
      </c>
      <c r="E87" s="6" t="n">
        <v>1473835.09</v>
      </c>
      <c r="F87" s="6" t="n">
        <v>1478683.14</v>
      </c>
      <c r="G87" s="6">
        <f>E87-F87</f>
        <v/>
      </c>
      <c r="H87" s="8">
        <f>IFERROR((E87-F87)/E87,"")</f>
        <v/>
      </c>
      <c r="I87" s="6" t="n">
        <v>427798.16</v>
      </c>
    </row>
    <row r="88">
      <c r="A88" t="inlineStr">
        <is>
          <t>Gresham</t>
        </is>
      </c>
      <c r="B88" t="inlineStr">
        <is>
          <t>GRS-FAC</t>
        </is>
      </c>
      <c r="C88" t="inlineStr">
        <is>
          <t>Facilities</t>
        </is>
      </c>
      <c r="D88" s="7" t="n">
        <v>45597</v>
      </c>
      <c r="E88" s="6" t="n">
        <v>1582169.19</v>
      </c>
      <c r="F88" s="6" t="n">
        <v>1592254.91</v>
      </c>
      <c r="G88" s="6">
        <f>E88-F88</f>
        <v/>
      </c>
      <c r="H88" s="8">
        <f>IFERROR((E88-F88)/E88,"")</f>
        <v/>
      </c>
      <c r="I88" s="6" t="n">
        <v>417712.44</v>
      </c>
    </row>
    <row r="89">
      <c r="A89" t="inlineStr">
        <is>
          <t>Gresham</t>
        </is>
      </c>
      <c r="B89" t="inlineStr">
        <is>
          <t>GRS-FAC</t>
        </is>
      </c>
      <c r="C89" t="inlineStr">
        <is>
          <t>Facilities</t>
        </is>
      </c>
      <c r="D89" s="7" t="n">
        <v>45627</v>
      </c>
      <c r="E89" s="6" t="n">
        <v>1554850.38</v>
      </c>
      <c r="F89" s="6" t="n">
        <v>1449780.51</v>
      </c>
      <c r="G89" s="6">
        <f>E89-F89</f>
        <v/>
      </c>
      <c r="H89" s="8">
        <f>IFERROR((E89-F89)/E89,"")</f>
        <v/>
      </c>
      <c r="I89" s="6" t="n">
        <v>522782.31</v>
      </c>
    </row>
    <row r="90">
      <c r="A90" t="inlineStr">
        <is>
          <t>Gresham</t>
        </is>
      </c>
      <c r="B90" t="inlineStr">
        <is>
          <t>GRS-FAC</t>
        </is>
      </c>
      <c r="C90" t="inlineStr">
        <is>
          <t>Facilities</t>
        </is>
      </c>
      <c r="D90" s="7" t="n">
        <v>45658</v>
      </c>
      <c r="E90" s="6" t="n">
        <v>1522054.68</v>
      </c>
      <c r="F90" s="6" t="n">
        <v>1398596.64</v>
      </c>
      <c r="G90" s="6">
        <f>E90-F90</f>
        <v/>
      </c>
      <c r="H90" s="8">
        <f>IFERROR((E90-F90)/E90,"")</f>
        <v/>
      </c>
      <c r="I90" s="6" t="n">
        <v>123458.04</v>
      </c>
    </row>
    <row r="91">
      <c r="A91" t="inlineStr">
        <is>
          <t>Gresham</t>
        </is>
      </c>
      <c r="B91" t="inlineStr">
        <is>
          <t>GRS-FAC</t>
        </is>
      </c>
      <c r="C91" t="inlineStr">
        <is>
          <t>Facilities</t>
        </is>
      </c>
      <c r="D91" s="7" t="n">
        <v>45689</v>
      </c>
      <c r="E91" s="6" t="n">
        <v>1422940.63</v>
      </c>
      <c r="F91" s="6" t="n">
        <v>1412963.03</v>
      </c>
      <c r="G91" s="6">
        <f>E91-F91</f>
        <v/>
      </c>
      <c r="H91" s="8">
        <f>IFERROR((E91-F91)/E91,"")</f>
        <v/>
      </c>
      <c r="I91" s="6" t="n">
        <v>133435.64</v>
      </c>
    </row>
    <row r="92">
      <c r="A92" t="inlineStr">
        <is>
          <t>Gresham</t>
        </is>
      </c>
      <c r="B92" t="inlineStr">
        <is>
          <t>GRS-FAC</t>
        </is>
      </c>
      <c r="C92" t="inlineStr">
        <is>
          <t>Facilities</t>
        </is>
      </c>
      <c r="D92" s="7" t="n">
        <v>45717</v>
      </c>
      <c r="E92" s="6" t="n">
        <v>1345391.5</v>
      </c>
      <c r="F92" s="6" t="n">
        <v>1346018.73</v>
      </c>
      <c r="G92" s="6">
        <f>E92-F92</f>
        <v/>
      </c>
      <c r="H92" s="8">
        <f>IFERROR((E92-F92)/E92,"")</f>
        <v/>
      </c>
      <c r="I92" s="6" t="n">
        <v>132808.41</v>
      </c>
    </row>
    <row r="93">
      <c r="A93" t="inlineStr">
        <is>
          <t>Gresham</t>
        </is>
      </c>
      <c r="B93" t="inlineStr">
        <is>
          <t>GRS-FAC</t>
        </is>
      </c>
      <c r="C93" t="inlineStr">
        <is>
          <t>Facilities</t>
        </is>
      </c>
      <c r="D93" s="7" t="n">
        <v>45748</v>
      </c>
      <c r="E93" s="6" t="n">
        <v>1275871.76</v>
      </c>
      <c r="F93" s="6" t="n">
        <v>1285658.92</v>
      </c>
      <c r="G93" s="6">
        <f>E93-F93</f>
        <v/>
      </c>
      <c r="H93" s="8">
        <f>IFERROR((E93-F93)/E93,"")</f>
        <v/>
      </c>
      <c r="I93" s="6" t="n">
        <v>123021.25</v>
      </c>
    </row>
    <row r="94">
      <c r="A94" t="inlineStr">
        <is>
          <t>Gresham</t>
        </is>
      </c>
      <c r="B94" t="inlineStr">
        <is>
          <t>GRS-FAC</t>
        </is>
      </c>
      <c r="C94" t="inlineStr">
        <is>
          <t>Facilities</t>
        </is>
      </c>
      <c r="D94" s="7" t="n">
        <v>45778</v>
      </c>
      <c r="E94" s="6" t="n">
        <v>1293523.06</v>
      </c>
      <c r="F94" s="6" t="n">
        <v>1292742.6</v>
      </c>
      <c r="G94" s="6">
        <f>E94-F94</f>
        <v/>
      </c>
      <c r="H94" s="8">
        <f>IFERROR((E94-F94)/E94,"")</f>
        <v/>
      </c>
      <c r="I94" s="6" t="n">
        <v>123801.71</v>
      </c>
    </row>
    <row r="95">
      <c r="A95" t="inlineStr">
        <is>
          <t>Gresham</t>
        </is>
      </c>
      <c r="B95" t="inlineStr">
        <is>
          <t>GRS-FAC</t>
        </is>
      </c>
      <c r="C95" t="inlineStr">
        <is>
          <t>Facilities</t>
        </is>
      </c>
      <c r="D95" s="7" t="n">
        <v>45809</v>
      </c>
      <c r="E95" s="6" t="n">
        <v>1304987.15</v>
      </c>
      <c r="F95" s="6" t="n">
        <v>1331653.49</v>
      </c>
      <c r="G95" s="6">
        <f>E95-F95</f>
        <v/>
      </c>
      <c r="H95" s="8">
        <f>IFERROR((E95-F95)/E95,"")</f>
        <v/>
      </c>
      <c r="I95" s="6" t="n">
        <v>97135.37</v>
      </c>
    </row>
    <row r="96">
      <c r="A96" t="inlineStr">
        <is>
          <t>Gresham</t>
        </is>
      </c>
      <c r="B96" t="inlineStr">
        <is>
          <t>GRS-FAC</t>
        </is>
      </c>
      <c r="C96" t="inlineStr">
        <is>
          <t>Facilities</t>
        </is>
      </c>
      <c r="D96" s="7" t="n">
        <v>45839</v>
      </c>
      <c r="E96" s="6" t="n">
        <v>1425530.34</v>
      </c>
      <c r="F96" s="6" t="n">
        <v>1464567.78</v>
      </c>
      <c r="G96" s="6">
        <f>E96-F96</f>
        <v/>
      </c>
      <c r="H96" s="8">
        <f>IFERROR((E96-F96)/E96,"")</f>
        <v/>
      </c>
      <c r="I96" s="6" t="n">
        <v>58097.93</v>
      </c>
    </row>
    <row r="97">
      <c r="A97" t="inlineStr">
        <is>
          <t>Gresham</t>
        </is>
      </c>
      <c r="B97" t="inlineStr">
        <is>
          <t>GRS-FAC</t>
        </is>
      </c>
      <c r="C97" t="inlineStr">
        <is>
          <t>Facilities</t>
        </is>
      </c>
      <c r="D97" s="7" t="n">
        <v>45870</v>
      </c>
      <c r="E97" s="6" t="n">
        <v>1414045.56</v>
      </c>
      <c r="F97" s="6" t="n">
        <v>1430256.63</v>
      </c>
      <c r="G97" s="6">
        <f>E97-F97</f>
        <v/>
      </c>
      <c r="H97" s="8">
        <f>IFERROR((E97-F97)/E97,"")</f>
        <v/>
      </c>
      <c r="I97" s="6" t="n">
        <v>41886.86</v>
      </c>
    </row>
    <row r="98">
      <c r="A98" t="inlineStr">
        <is>
          <t>Gresham</t>
        </is>
      </c>
      <c r="B98" t="inlineStr">
        <is>
          <t>GRS-FAC</t>
        </is>
      </c>
      <c r="C98" t="inlineStr">
        <is>
          <t>Facilities</t>
        </is>
      </c>
      <c r="D98" s="7" t="n">
        <v>45901</v>
      </c>
      <c r="E98" s="6" t="n">
        <v>1424757.6</v>
      </c>
      <c r="F98" s="6" t="n">
        <v>1296364.68</v>
      </c>
      <c r="G98" s="6">
        <f>E98-F98</f>
        <v/>
      </c>
      <c r="H98" s="8">
        <f>IFERROR((E98-F98)/E98,"")</f>
        <v/>
      </c>
      <c r="I98" s="6" t="n">
        <v>170279.78</v>
      </c>
    </row>
    <row r="99">
      <c r="A99" t="inlineStr">
        <is>
          <t>Gresham</t>
        </is>
      </c>
      <c r="B99" t="inlineStr">
        <is>
          <t>GRS-FAC</t>
        </is>
      </c>
      <c r="C99" t="inlineStr">
        <is>
          <t>Facilities</t>
        </is>
      </c>
      <c r="D99" s="7" t="n">
        <v>45931</v>
      </c>
      <c r="E99" s="6" t="n">
        <v>1400117.69</v>
      </c>
      <c r="F99" s="6" t="n">
        <v>1287653.23</v>
      </c>
      <c r="G99" s="6">
        <f>E99-F99</f>
        <v/>
      </c>
      <c r="H99" s="8">
        <f>IFERROR((E99-F99)/E99,"")</f>
        <v/>
      </c>
      <c r="I99" s="6" t="n">
        <v>282744.24</v>
      </c>
    </row>
    <row r="100">
      <c r="A100" t="inlineStr">
        <is>
          <t>Gresham</t>
        </is>
      </c>
      <c r="B100" t="inlineStr">
        <is>
          <t>GRS-FAC</t>
        </is>
      </c>
      <c r="C100" t="inlineStr">
        <is>
          <t>Facilities</t>
        </is>
      </c>
      <c r="D100" s="7" t="n">
        <v>45962</v>
      </c>
      <c r="E100" s="6" t="n">
        <v>1492800.33</v>
      </c>
      <c r="F100" s="6" t="n">
        <v>1524083.64</v>
      </c>
      <c r="G100" s="6">
        <f>E100-F100</f>
        <v/>
      </c>
      <c r="H100" s="8">
        <f>IFERROR((E100-F100)/E100,"")</f>
        <v/>
      </c>
      <c r="I100" s="6" t="n">
        <v>251460.93</v>
      </c>
    </row>
    <row r="101">
      <c r="A101" t="inlineStr">
        <is>
          <t>Gresham</t>
        </is>
      </c>
      <c r="B101" t="inlineStr">
        <is>
          <t>GRS-FAC</t>
        </is>
      </c>
      <c r="C101" t="inlineStr">
        <is>
          <t>Facilities</t>
        </is>
      </c>
      <c r="D101" s="7" t="n">
        <v>45992</v>
      </c>
      <c r="E101" s="6" t="n">
        <v>1457658.32</v>
      </c>
      <c r="F101" s="6" t="n">
        <v>1320909.12</v>
      </c>
      <c r="G101" s="6">
        <f>E101-F101</f>
        <v/>
      </c>
      <c r="H101" s="8">
        <f>IFERROR((E101-F101)/E101,"")</f>
        <v/>
      </c>
      <c r="I101" s="6" t="n">
        <v>388210.13</v>
      </c>
    </row>
    <row r="102">
      <c r="A102" t="inlineStr">
        <is>
          <t>Gresham</t>
        </is>
      </c>
      <c r="B102" t="inlineStr">
        <is>
          <t>GRS-FAC</t>
        </is>
      </c>
      <c r="C102" t="inlineStr">
        <is>
          <t>Facilities</t>
        </is>
      </c>
      <c r="D102" s="7" t="n">
        <v>46023</v>
      </c>
      <c r="E102" s="6" t="n">
        <v>1443665.41</v>
      </c>
      <c r="F102" s="6" t="n">
        <v>1461751.75</v>
      </c>
      <c r="G102" s="6">
        <f>E102-F102</f>
        <v/>
      </c>
      <c r="H102" s="8">
        <f>IFERROR((E102-F102)/E102,"")</f>
        <v/>
      </c>
      <c r="I102" s="6" t="n">
        <v>-18086.34</v>
      </c>
    </row>
    <row r="103">
      <c r="A103" t="inlineStr">
        <is>
          <t>Gresham</t>
        </is>
      </c>
      <c r="B103" t="inlineStr">
        <is>
          <t>GRS-FAC</t>
        </is>
      </c>
      <c r="C103" t="inlineStr">
        <is>
          <t>Facilities</t>
        </is>
      </c>
      <c r="D103" s="7" t="n">
        <v>46054</v>
      </c>
      <c r="E103" s="6" t="n">
        <v>1419821.26</v>
      </c>
      <c r="F103" s="6" t="n">
        <v>1444664.19</v>
      </c>
      <c r="G103" s="6">
        <f>E103-F103</f>
        <v/>
      </c>
      <c r="H103" s="8">
        <f>IFERROR((E103-F103)/E103,"")</f>
        <v/>
      </c>
      <c r="I103" s="6" t="n">
        <v>-42929.27</v>
      </c>
    </row>
    <row r="104">
      <c r="A104" t="inlineStr">
        <is>
          <t>Gresham</t>
        </is>
      </c>
      <c r="B104" t="inlineStr">
        <is>
          <t>GRS-FAC</t>
        </is>
      </c>
      <c r="C104" t="inlineStr">
        <is>
          <t>Facilities</t>
        </is>
      </c>
      <c r="D104" s="7" t="n">
        <v>46082</v>
      </c>
      <c r="E104" s="6" t="n">
        <v>1280544.5</v>
      </c>
      <c r="F104" s="6" t="n">
        <v>1277257.52</v>
      </c>
      <c r="G104" s="6">
        <f>E104-F104</f>
        <v/>
      </c>
      <c r="H104" s="8">
        <f>IFERROR((E104-F104)/E104,"")</f>
        <v/>
      </c>
      <c r="I104" s="6" t="n">
        <v>-39642.29</v>
      </c>
    </row>
    <row r="105">
      <c r="A105" t="inlineStr">
        <is>
          <t>Gresham</t>
        </is>
      </c>
      <c r="B105" t="inlineStr">
        <is>
          <t>GRS-FAC</t>
        </is>
      </c>
      <c r="C105" t="inlineStr">
        <is>
          <t>Facilities</t>
        </is>
      </c>
      <c r="D105" s="7" t="n">
        <v>46113</v>
      </c>
      <c r="E105" s="6" t="n">
        <v>1252240.57</v>
      </c>
      <c r="F105" s="6" t="n">
        <v>1184237.62</v>
      </c>
      <c r="G105" s="6">
        <f>E105-F105</f>
        <v/>
      </c>
      <c r="H105" s="8">
        <f>IFERROR((E105-F105)/E105,"")</f>
        <v/>
      </c>
      <c r="I105" s="6" t="n">
        <v>28360.66</v>
      </c>
    </row>
    <row r="106">
      <c r="A106" t="inlineStr">
        <is>
          <t>Gresham</t>
        </is>
      </c>
      <c r="B106" t="inlineStr">
        <is>
          <t>GRS-FAC</t>
        </is>
      </c>
      <c r="C106" t="inlineStr">
        <is>
          <t>Facilities</t>
        </is>
      </c>
      <c r="D106" s="7" t="n">
        <v>46143</v>
      </c>
      <c r="E106" s="6" t="n">
        <v>1253463.68</v>
      </c>
      <c r="F106" s="6" t="n">
        <v>1271806.68</v>
      </c>
      <c r="G106" s="6">
        <f>E106-F106</f>
        <v/>
      </c>
      <c r="H106" s="8">
        <f>IFERROR((E106-F106)/E106,"")</f>
        <v/>
      </c>
      <c r="I106" s="6" t="n">
        <v>10017.66</v>
      </c>
    </row>
    <row r="107">
      <c r="A107" t="inlineStr">
        <is>
          <t>Gresham</t>
        </is>
      </c>
      <c r="B107" t="inlineStr">
        <is>
          <t>GRS-FAC</t>
        </is>
      </c>
      <c r="C107" t="inlineStr">
        <is>
          <t>Facilities</t>
        </is>
      </c>
      <c r="D107" s="7" t="n">
        <v>46174</v>
      </c>
      <c r="E107" s="6" t="n">
        <v>1277389.03</v>
      </c>
      <c r="F107" s="6" t="n">
        <v>1280339.16</v>
      </c>
      <c r="G107" s="6">
        <f>E107-F107</f>
        <v/>
      </c>
      <c r="H107" s="8">
        <f>IFERROR((E107-F107)/E107,"")</f>
        <v/>
      </c>
      <c r="I107" s="6" t="n">
        <v>7067.53</v>
      </c>
    </row>
    <row r="108">
      <c r="A108" t="inlineStr">
        <is>
          <t>Gresham</t>
        </is>
      </c>
      <c r="B108" t="inlineStr">
        <is>
          <t>GRS-FAC</t>
        </is>
      </c>
      <c r="C108" t="inlineStr">
        <is>
          <t>Facilities</t>
        </is>
      </c>
      <c r="D108" s="7" t="n">
        <v>46204</v>
      </c>
      <c r="E108" s="6" t="n">
        <v>1371253.19</v>
      </c>
      <c r="F108" s="6" t="n">
        <v>1278168.76</v>
      </c>
      <c r="G108" s="6">
        <f>E108-F108</f>
        <v/>
      </c>
      <c r="H108" s="8">
        <f>IFERROR((E108-F108)/E108,"")</f>
        <v/>
      </c>
      <c r="I108" s="6" t="n">
        <v>100151.96</v>
      </c>
    </row>
    <row r="109">
      <c r="A109" t="inlineStr">
        <is>
          <t>Gresham</t>
        </is>
      </c>
      <c r="B109" t="inlineStr">
        <is>
          <t>GRS-FAC</t>
        </is>
      </c>
      <c r="C109" t="inlineStr">
        <is>
          <t>Facilities</t>
        </is>
      </c>
      <c r="D109" s="7" t="n">
        <v>46235</v>
      </c>
      <c r="E109" s="6" t="n">
        <v>1426939.18</v>
      </c>
      <c r="F109" s="6" t="n">
        <v>1271446.84</v>
      </c>
      <c r="G109" s="6">
        <f>E109-F109</f>
        <v/>
      </c>
      <c r="H109" s="8">
        <f>IFERROR((E109-F109)/E109,"")</f>
        <v/>
      </c>
      <c r="I109" s="6" t="n">
        <v>255644.3</v>
      </c>
    </row>
    <row r="110">
      <c r="A110" t="inlineStr">
        <is>
          <t>Gresham</t>
        </is>
      </c>
      <c r="B110" t="inlineStr">
        <is>
          <t>GRS-QLT</t>
        </is>
      </c>
      <c r="C110" t="inlineStr">
        <is>
          <t>Quality</t>
        </is>
      </c>
      <c r="D110" s="7" t="n">
        <v>45170</v>
      </c>
      <c r="E110" s="6" t="n">
        <v>637880.5600000001</v>
      </c>
      <c r="F110" s="6" t="n">
        <v>716719.46</v>
      </c>
      <c r="G110" s="6">
        <f>E110-F110</f>
        <v/>
      </c>
      <c r="H110" s="8">
        <f>IFERROR((E110-F110)/E110,"")</f>
        <v/>
      </c>
      <c r="I110" s="6" t="n">
        <v>-78838.89999999999</v>
      </c>
    </row>
    <row r="111">
      <c r="A111" t="inlineStr">
        <is>
          <t>Gresham</t>
        </is>
      </c>
      <c r="B111" t="inlineStr">
        <is>
          <t>GRS-QLT</t>
        </is>
      </c>
      <c r="C111" t="inlineStr">
        <is>
          <t>Quality</t>
        </is>
      </c>
      <c r="D111" s="7" t="n">
        <v>45200</v>
      </c>
      <c r="E111" s="6" t="n">
        <v>649281.76</v>
      </c>
      <c r="F111" s="6" t="n">
        <v>690688.2</v>
      </c>
      <c r="G111" s="6">
        <f>E111-F111</f>
        <v/>
      </c>
      <c r="H111" s="8">
        <f>IFERROR((E111-F111)/E111,"")</f>
        <v/>
      </c>
      <c r="I111" s="6" t="n">
        <v>-120245.34</v>
      </c>
    </row>
    <row r="112">
      <c r="A112" t="inlineStr">
        <is>
          <t>Gresham</t>
        </is>
      </c>
      <c r="B112" t="inlineStr">
        <is>
          <t>GRS-QLT</t>
        </is>
      </c>
      <c r="C112" t="inlineStr">
        <is>
          <t>Quality</t>
        </is>
      </c>
      <c r="D112" s="7" t="n">
        <v>45231</v>
      </c>
      <c r="E112" s="6" t="n">
        <v>644374.0600000001</v>
      </c>
      <c r="F112" s="6" t="n">
        <v>676256.88</v>
      </c>
      <c r="G112" s="6">
        <f>E112-F112</f>
        <v/>
      </c>
      <c r="H112" s="8">
        <f>IFERROR((E112-F112)/E112,"")</f>
        <v/>
      </c>
      <c r="I112" s="6" t="n">
        <v>-152128.16</v>
      </c>
    </row>
    <row r="113">
      <c r="A113" t="inlineStr">
        <is>
          <t>Gresham</t>
        </is>
      </c>
      <c r="B113" t="inlineStr">
        <is>
          <t>GRS-QLT</t>
        </is>
      </c>
      <c r="C113" t="inlineStr">
        <is>
          <t>Quality</t>
        </is>
      </c>
      <c r="D113" s="7" t="n">
        <v>45261</v>
      </c>
      <c r="E113" s="6" t="n">
        <v>641905.66</v>
      </c>
      <c r="F113" s="6" t="n">
        <v>678063.46</v>
      </c>
      <c r="G113" s="6">
        <f>E113-F113</f>
        <v/>
      </c>
      <c r="H113" s="8">
        <f>IFERROR((E113-F113)/E113,"")</f>
        <v/>
      </c>
      <c r="I113" s="6" t="n">
        <v>-188285.96</v>
      </c>
    </row>
    <row r="114">
      <c r="A114" t="inlineStr">
        <is>
          <t>Gresham</t>
        </is>
      </c>
      <c r="B114" t="inlineStr">
        <is>
          <t>GRS-QLT</t>
        </is>
      </c>
      <c r="C114" t="inlineStr">
        <is>
          <t>Quality</t>
        </is>
      </c>
      <c r="D114" s="7" t="n">
        <v>45292</v>
      </c>
      <c r="E114" s="6" t="n">
        <v>626234.0699999999</v>
      </c>
      <c r="F114" s="6" t="n">
        <v>686024.91</v>
      </c>
      <c r="G114" s="6">
        <f>E114-F114</f>
        <v/>
      </c>
      <c r="H114" s="8">
        <f>IFERROR((E114-F114)/E114,"")</f>
        <v/>
      </c>
      <c r="I114" s="6" t="n">
        <v>-59790.84</v>
      </c>
    </row>
    <row r="115">
      <c r="A115" t="inlineStr">
        <is>
          <t>Gresham</t>
        </is>
      </c>
      <c r="B115" t="inlineStr">
        <is>
          <t>GRS-QLT</t>
        </is>
      </c>
      <c r="C115" t="inlineStr">
        <is>
          <t>Quality</t>
        </is>
      </c>
      <c r="D115" s="7" t="n">
        <v>45323</v>
      </c>
      <c r="E115" s="6" t="n">
        <v>606409.72</v>
      </c>
      <c r="F115" s="6" t="n">
        <v>692187.38</v>
      </c>
      <c r="G115" s="6">
        <f>E115-F115</f>
        <v/>
      </c>
      <c r="H115" s="8">
        <f>IFERROR((E115-F115)/E115,"")</f>
        <v/>
      </c>
      <c r="I115" s="6" t="n">
        <v>-145568.5</v>
      </c>
    </row>
    <row r="116">
      <c r="A116" t="inlineStr">
        <is>
          <t>Gresham</t>
        </is>
      </c>
      <c r="B116" t="inlineStr">
        <is>
          <t>GRS-QLT</t>
        </is>
      </c>
      <c r="C116" t="inlineStr">
        <is>
          <t>Quality</t>
        </is>
      </c>
      <c r="D116" s="7" t="n">
        <v>45352</v>
      </c>
      <c r="E116" s="6" t="n">
        <v>590997.23</v>
      </c>
      <c r="F116" s="6" t="n">
        <v>681169.72</v>
      </c>
      <c r="G116" s="6">
        <f>E116-F116</f>
        <v/>
      </c>
      <c r="H116" s="8">
        <f>IFERROR((E116-F116)/E116,"")</f>
        <v/>
      </c>
      <c r="I116" s="6" t="n">
        <v>-235740.99</v>
      </c>
    </row>
    <row r="117">
      <c r="A117" t="inlineStr">
        <is>
          <t>Gresham</t>
        </is>
      </c>
      <c r="B117" t="inlineStr">
        <is>
          <t>GRS-QLT</t>
        </is>
      </c>
      <c r="C117" t="inlineStr">
        <is>
          <t>Quality</t>
        </is>
      </c>
      <c r="D117" s="7" t="n">
        <v>45383</v>
      </c>
      <c r="E117" s="6" t="n">
        <v>584949.96</v>
      </c>
      <c r="F117" s="6" t="n">
        <v>700758.64</v>
      </c>
      <c r="G117" s="6">
        <f>E117-F117</f>
        <v/>
      </c>
      <c r="H117" s="8">
        <f>IFERROR((E117-F117)/E117,"")</f>
        <v/>
      </c>
      <c r="I117" s="6" t="n">
        <v>-351549.67</v>
      </c>
    </row>
    <row r="118">
      <c r="A118" t="inlineStr">
        <is>
          <t>Gresham</t>
        </is>
      </c>
      <c r="B118" t="inlineStr">
        <is>
          <t>GRS-QLT</t>
        </is>
      </c>
      <c r="C118" t="inlineStr">
        <is>
          <t>Quality</t>
        </is>
      </c>
      <c r="D118" s="7" t="n">
        <v>45413</v>
      </c>
      <c r="E118" s="6" t="n">
        <v>583884.17</v>
      </c>
      <c r="F118" s="6" t="n">
        <v>692533.61</v>
      </c>
      <c r="G118" s="6">
        <f>E118-F118</f>
        <v/>
      </c>
      <c r="H118" s="8">
        <f>IFERROR((E118-F118)/E118,"")</f>
        <v/>
      </c>
      <c r="I118" s="6" t="n">
        <v>-460199.11</v>
      </c>
    </row>
    <row r="119">
      <c r="A119" t="inlineStr">
        <is>
          <t>Gresham</t>
        </is>
      </c>
      <c r="B119" t="inlineStr">
        <is>
          <t>GRS-QLT</t>
        </is>
      </c>
      <c r="C119" t="inlineStr">
        <is>
          <t>Quality</t>
        </is>
      </c>
      <c r="D119" s="7" t="n">
        <v>45444</v>
      </c>
      <c r="E119" s="6" t="n">
        <v>589217.7</v>
      </c>
      <c r="F119" s="6" t="n">
        <v>700434.02</v>
      </c>
      <c r="G119" s="6">
        <f>E119-F119</f>
        <v/>
      </c>
      <c r="H119" s="8">
        <f>IFERROR((E119-F119)/E119,"")</f>
        <v/>
      </c>
      <c r="I119" s="6" t="n">
        <v>-571415.4300000001</v>
      </c>
    </row>
    <row r="120">
      <c r="A120" t="inlineStr">
        <is>
          <t>Gresham</t>
        </is>
      </c>
      <c r="B120" t="inlineStr">
        <is>
          <t>GRS-QLT</t>
        </is>
      </c>
      <c r="C120" t="inlineStr">
        <is>
          <t>Quality</t>
        </is>
      </c>
      <c r="D120" s="7" t="n">
        <v>45474</v>
      </c>
      <c r="E120" s="6" t="n">
        <v>599969.39</v>
      </c>
      <c r="F120" s="6" t="n">
        <v>681920.74</v>
      </c>
      <c r="G120" s="6">
        <f>E120-F120</f>
        <v/>
      </c>
      <c r="H120" s="8">
        <f>IFERROR((E120-F120)/E120,"")</f>
        <v/>
      </c>
      <c r="I120" s="6" t="n">
        <v>-653366.78</v>
      </c>
    </row>
    <row r="121">
      <c r="A121" t="inlineStr">
        <is>
          <t>Gresham</t>
        </is>
      </c>
      <c r="B121" t="inlineStr">
        <is>
          <t>GRS-QLT</t>
        </is>
      </c>
      <c r="C121" t="inlineStr">
        <is>
          <t>Quality</t>
        </is>
      </c>
      <c r="D121" s="7" t="n">
        <v>45505</v>
      </c>
      <c r="E121" s="6" t="n">
        <v>618793.45</v>
      </c>
      <c r="F121" s="6" t="n">
        <v>702448.3199999999</v>
      </c>
      <c r="G121" s="6">
        <f>E121-F121</f>
        <v/>
      </c>
      <c r="H121" s="8">
        <f>IFERROR((E121-F121)/E121,"")</f>
        <v/>
      </c>
      <c r="I121" s="6" t="n">
        <v>-737021.65</v>
      </c>
    </row>
    <row r="122">
      <c r="A122" t="inlineStr">
        <is>
          <t>Gresham</t>
        </is>
      </c>
      <c r="B122" t="inlineStr">
        <is>
          <t>GRS-QLT</t>
        </is>
      </c>
      <c r="C122" t="inlineStr">
        <is>
          <t>Quality</t>
        </is>
      </c>
      <c r="D122" s="7" t="n">
        <v>45536</v>
      </c>
      <c r="E122" s="6" t="n">
        <v>627675.08</v>
      </c>
      <c r="F122" s="6" t="n">
        <v>666028.66</v>
      </c>
      <c r="G122" s="6">
        <f>E122-F122</f>
        <v/>
      </c>
      <c r="H122" s="8">
        <f>IFERROR((E122-F122)/E122,"")</f>
        <v/>
      </c>
      <c r="I122" s="6" t="n">
        <v>-775375.23</v>
      </c>
    </row>
    <row r="123">
      <c r="A123" t="inlineStr">
        <is>
          <t>Gresham</t>
        </is>
      </c>
      <c r="B123" t="inlineStr">
        <is>
          <t>GRS-QLT</t>
        </is>
      </c>
      <c r="C123" t="inlineStr">
        <is>
          <t>Quality</t>
        </is>
      </c>
      <c r="D123" s="7" t="n">
        <v>45566</v>
      </c>
      <c r="E123" s="6" t="n">
        <v>632114.6800000001</v>
      </c>
      <c r="F123" s="6" t="n">
        <v>663872.66</v>
      </c>
      <c r="G123" s="6">
        <f>E123-F123</f>
        <v/>
      </c>
      <c r="H123" s="8">
        <f>IFERROR((E123-F123)/E123,"")</f>
        <v/>
      </c>
      <c r="I123" s="6" t="n">
        <v>-807133.21</v>
      </c>
    </row>
    <row r="124">
      <c r="A124" t="inlineStr">
        <is>
          <t>Gresham</t>
        </is>
      </c>
      <c r="B124" t="inlineStr">
        <is>
          <t>GRS-QLT</t>
        </is>
      </c>
      <c r="C124" t="inlineStr">
        <is>
          <t>Quality</t>
        </is>
      </c>
      <c r="D124" s="7" t="n">
        <v>45597</v>
      </c>
      <c r="E124" s="6" t="n">
        <v>636060.09</v>
      </c>
      <c r="F124" s="6" t="n">
        <v>693270.4399999999</v>
      </c>
      <c r="G124" s="6">
        <f>E124-F124</f>
        <v/>
      </c>
      <c r="H124" s="8">
        <f>IFERROR((E124-F124)/E124,"")</f>
        <v/>
      </c>
      <c r="I124" s="6" t="n">
        <v>-864343.5600000001</v>
      </c>
    </row>
    <row r="125">
      <c r="A125" t="inlineStr">
        <is>
          <t>Gresham</t>
        </is>
      </c>
      <c r="B125" t="inlineStr">
        <is>
          <t>GRS-QLT</t>
        </is>
      </c>
      <c r="C125" t="inlineStr">
        <is>
          <t>Quality</t>
        </is>
      </c>
      <c r="D125" s="7" t="n">
        <v>45627</v>
      </c>
      <c r="E125" s="6" t="n">
        <v>620843.76</v>
      </c>
      <c r="F125" s="6" t="n">
        <v>679846.11</v>
      </c>
      <c r="G125" s="6">
        <f>E125-F125</f>
        <v/>
      </c>
      <c r="H125" s="8">
        <f>IFERROR((E125-F125)/E125,"")</f>
        <v/>
      </c>
      <c r="I125" s="6" t="n">
        <v>-923345.91</v>
      </c>
    </row>
    <row r="126">
      <c r="A126" t="inlineStr">
        <is>
          <t>Gresham</t>
        </is>
      </c>
      <c r="B126" t="inlineStr">
        <is>
          <t>GRS-QLT</t>
        </is>
      </c>
      <c r="C126" t="inlineStr">
        <is>
          <t>Quality</t>
        </is>
      </c>
      <c r="D126" s="7" t="n">
        <v>45658</v>
      </c>
      <c r="E126" s="6" t="n">
        <v>611105.48</v>
      </c>
      <c r="F126" s="6" t="n">
        <v>697500.1899999999</v>
      </c>
      <c r="G126" s="6">
        <f>E126-F126</f>
        <v/>
      </c>
      <c r="H126" s="8">
        <f>IFERROR((E126-F126)/E126,"")</f>
        <v/>
      </c>
      <c r="I126" s="6" t="n">
        <v>-86394.71000000001</v>
      </c>
    </row>
    <row r="127">
      <c r="A127" t="inlineStr">
        <is>
          <t>Gresham</t>
        </is>
      </c>
      <c r="B127" t="inlineStr">
        <is>
          <t>GRS-QLT</t>
        </is>
      </c>
      <c r="C127" t="inlineStr">
        <is>
          <t>Quality</t>
        </is>
      </c>
      <c r="D127" s="7" t="n">
        <v>45689</v>
      </c>
      <c r="E127" s="6" t="n">
        <v>594614.74</v>
      </c>
      <c r="F127" s="6" t="n">
        <v>685514.52</v>
      </c>
      <c r="G127" s="6">
        <f>E127-F127</f>
        <v/>
      </c>
      <c r="H127" s="8">
        <f>IFERROR((E127-F127)/E127,"")</f>
        <v/>
      </c>
      <c r="I127" s="6" t="n">
        <v>-177294.49</v>
      </c>
    </row>
    <row r="128">
      <c r="A128" t="inlineStr">
        <is>
          <t>Gresham</t>
        </is>
      </c>
      <c r="B128" t="inlineStr">
        <is>
          <t>GRS-QLT</t>
        </is>
      </c>
      <c r="C128" t="inlineStr">
        <is>
          <t>Quality</t>
        </is>
      </c>
      <c r="D128" s="7" t="n">
        <v>45717</v>
      </c>
      <c r="E128" s="6" t="n">
        <v>575691.36</v>
      </c>
      <c r="F128" s="6" t="n">
        <v>671580.15</v>
      </c>
      <c r="G128" s="6">
        <f>E128-F128</f>
        <v/>
      </c>
      <c r="H128" s="8">
        <f>IFERROR((E128-F128)/E128,"")</f>
        <v/>
      </c>
      <c r="I128" s="6" t="n">
        <v>-273183.28</v>
      </c>
    </row>
    <row r="129">
      <c r="A129" t="inlineStr">
        <is>
          <t>Gresham</t>
        </is>
      </c>
      <c r="B129" t="inlineStr">
        <is>
          <t>GRS-QLT</t>
        </is>
      </c>
      <c r="C129" t="inlineStr">
        <is>
          <t>Quality</t>
        </is>
      </c>
      <c r="D129" s="7" t="n">
        <v>45748</v>
      </c>
      <c r="E129" s="6" t="n">
        <v>567802.79</v>
      </c>
      <c r="F129" s="6" t="n">
        <v>670747.63</v>
      </c>
      <c r="G129" s="6">
        <f>E129-F129</f>
        <v/>
      </c>
      <c r="H129" s="8">
        <f>IFERROR((E129-F129)/E129,"")</f>
        <v/>
      </c>
      <c r="I129" s="6" t="n">
        <v>-376128.12</v>
      </c>
    </row>
    <row r="130">
      <c r="A130" t="inlineStr">
        <is>
          <t>Gresham</t>
        </is>
      </c>
      <c r="B130" t="inlineStr">
        <is>
          <t>GRS-QLT</t>
        </is>
      </c>
      <c r="C130" t="inlineStr">
        <is>
          <t>Quality</t>
        </is>
      </c>
      <c r="D130" s="7" t="n">
        <v>45778</v>
      </c>
      <c r="E130" s="6" t="n">
        <v>564384.08</v>
      </c>
      <c r="F130" s="6" t="n">
        <v>661304.85</v>
      </c>
      <c r="G130" s="6">
        <f>E130-F130</f>
        <v/>
      </c>
      <c r="H130" s="8">
        <f>IFERROR((E130-F130)/E130,"")</f>
        <v/>
      </c>
      <c r="I130" s="6" t="n">
        <v>-473048.89</v>
      </c>
    </row>
    <row r="131">
      <c r="A131" t="inlineStr">
        <is>
          <t>Gresham</t>
        </is>
      </c>
      <c r="B131" t="inlineStr">
        <is>
          <t>GRS-QLT</t>
        </is>
      </c>
      <c r="C131" t="inlineStr">
        <is>
          <t>Quality</t>
        </is>
      </c>
      <c r="D131" s="7" t="n">
        <v>45809</v>
      </c>
      <c r="E131" s="6" t="n">
        <v>575805.85</v>
      </c>
      <c r="F131" s="6" t="n">
        <v>650228.38</v>
      </c>
      <c r="G131" s="6">
        <f>E131-F131</f>
        <v/>
      </c>
      <c r="H131" s="8">
        <f>IFERROR((E131-F131)/E131,"")</f>
        <v/>
      </c>
      <c r="I131" s="6" t="n">
        <v>-547471.42</v>
      </c>
    </row>
    <row r="132">
      <c r="A132" t="inlineStr">
        <is>
          <t>Gresham</t>
        </is>
      </c>
      <c r="B132" t="inlineStr">
        <is>
          <t>GRS-QLT</t>
        </is>
      </c>
      <c r="C132" t="inlineStr">
        <is>
          <t>Quality</t>
        </is>
      </c>
      <c r="D132" s="7" t="n">
        <v>45839</v>
      </c>
      <c r="E132" s="6" t="n">
        <v>589403.53</v>
      </c>
      <c r="F132" s="6" t="n">
        <v>643532.98</v>
      </c>
      <c r="G132" s="6">
        <f>E132-F132</f>
        <v/>
      </c>
      <c r="H132" s="8">
        <f>IFERROR((E132-F132)/E132,"")</f>
        <v/>
      </c>
      <c r="I132" s="6" t="n">
        <v>-601600.87</v>
      </c>
    </row>
    <row r="133">
      <c r="A133" t="inlineStr">
        <is>
          <t>Gresham</t>
        </is>
      </c>
      <c r="B133" t="inlineStr">
        <is>
          <t>GRS-QLT</t>
        </is>
      </c>
      <c r="C133" t="inlineStr">
        <is>
          <t>Quality</t>
        </is>
      </c>
      <c r="D133" s="7" t="n">
        <v>45870</v>
      </c>
      <c r="E133" s="6" t="n">
        <v>599823.0600000001</v>
      </c>
      <c r="F133" s="6" t="n">
        <v>655476.62</v>
      </c>
      <c r="G133" s="6">
        <f>E133-F133</f>
        <v/>
      </c>
      <c r="H133" s="8">
        <f>IFERROR((E133-F133)/E133,"")</f>
        <v/>
      </c>
      <c r="I133" s="6" t="n">
        <v>-657254.4300000001</v>
      </c>
    </row>
    <row r="134">
      <c r="A134" t="inlineStr">
        <is>
          <t>Gresham</t>
        </is>
      </c>
      <c r="B134" t="inlineStr">
        <is>
          <t>GRS-QLT</t>
        </is>
      </c>
      <c r="C134" t="inlineStr">
        <is>
          <t>Quality</t>
        </is>
      </c>
      <c r="D134" s="7" t="n">
        <v>45901</v>
      </c>
      <c r="E134" s="6" t="n">
        <v>613920.95</v>
      </c>
      <c r="F134" s="6" t="n">
        <v>645757.55</v>
      </c>
      <c r="G134" s="6">
        <f>E134-F134</f>
        <v/>
      </c>
      <c r="H134" s="8">
        <f>IFERROR((E134-F134)/E134,"")</f>
        <v/>
      </c>
      <c r="I134" s="6" t="n">
        <v>-689091.03</v>
      </c>
    </row>
    <row r="135">
      <c r="A135" t="inlineStr">
        <is>
          <t>Gresham</t>
        </is>
      </c>
      <c r="B135" t="inlineStr">
        <is>
          <t>GRS-QLT</t>
        </is>
      </c>
      <c r="C135" t="inlineStr">
        <is>
          <t>Quality</t>
        </is>
      </c>
      <c r="D135" s="7" t="n">
        <v>45931</v>
      </c>
      <c r="E135" s="6" t="n">
        <v>619539.25</v>
      </c>
      <c r="F135" s="6" t="n">
        <v>667417.15</v>
      </c>
      <c r="G135" s="6">
        <f>E135-F135</f>
        <v/>
      </c>
      <c r="H135" s="8">
        <f>IFERROR((E135-F135)/E135,"")</f>
        <v/>
      </c>
      <c r="I135" s="6" t="n">
        <v>-736968.9300000001</v>
      </c>
    </row>
    <row r="136">
      <c r="A136" t="inlineStr">
        <is>
          <t>Gresham</t>
        </is>
      </c>
      <c r="B136" t="inlineStr">
        <is>
          <t>GRS-QLT</t>
        </is>
      </c>
      <c r="C136" t="inlineStr">
        <is>
          <t>Quality</t>
        </is>
      </c>
      <c r="D136" s="7" t="n">
        <v>45962</v>
      </c>
      <c r="E136" s="6" t="n">
        <v>619359.76</v>
      </c>
      <c r="F136" s="6" t="n">
        <v>685023.62</v>
      </c>
      <c r="G136" s="6">
        <f>E136-F136</f>
        <v/>
      </c>
      <c r="H136" s="8">
        <f>IFERROR((E136-F136)/E136,"")</f>
        <v/>
      </c>
      <c r="I136" s="6" t="n">
        <v>-802632.79</v>
      </c>
    </row>
    <row r="137">
      <c r="A137" t="inlineStr">
        <is>
          <t>Gresham</t>
        </is>
      </c>
      <c r="B137" t="inlineStr">
        <is>
          <t>GRS-QLT</t>
        </is>
      </c>
      <c r="C137" t="inlineStr">
        <is>
          <t>Quality</t>
        </is>
      </c>
      <c r="D137" s="7" t="n">
        <v>45992</v>
      </c>
      <c r="E137" s="6" t="n">
        <v>612049.6</v>
      </c>
      <c r="F137" s="6" t="n">
        <v>670995.9399999999</v>
      </c>
      <c r="G137" s="6">
        <f>E137-F137</f>
        <v/>
      </c>
      <c r="H137" s="8">
        <f>IFERROR((E137-F137)/E137,"")</f>
        <v/>
      </c>
      <c r="I137" s="6" t="n">
        <v>-861579.13</v>
      </c>
    </row>
    <row r="138">
      <c r="A138" t="inlineStr">
        <is>
          <t>Gresham</t>
        </is>
      </c>
      <c r="B138" t="inlineStr">
        <is>
          <t>GRS-QLT</t>
        </is>
      </c>
      <c r="C138" t="inlineStr">
        <is>
          <t>Quality</t>
        </is>
      </c>
      <c r="D138" s="7" t="n">
        <v>46023</v>
      </c>
      <c r="E138" s="6" t="n">
        <v>592104.52</v>
      </c>
      <c r="F138" s="6" t="n">
        <v>673854.89</v>
      </c>
      <c r="G138" s="6">
        <f>E138-F138</f>
        <v/>
      </c>
      <c r="H138" s="8">
        <f>IFERROR((E138-F138)/E138,"")</f>
        <v/>
      </c>
      <c r="I138" s="6" t="n">
        <v>-81750.37</v>
      </c>
    </row>
    <row r="139">
      <c r="A139" t="inlineStr">
        <is>
          <t>Gresham</t>
        </is>
      </c>
      <c r="B139" t="inlineStr">
        <is>
          <t>GRS-QLT</t>
        </is>
      </c>
      <c r="C139" t="inlineStr">
        <is>
          <t>Quality</t>
        </is>
      </c>
      <c r="D139" s="7" t="n">
        <v>46054</v>
      </c>
      <c r="E139" s="6" t="n">
        <v>579862.35</v>
      </c>
      <c r="F139" s="6" t="n">
        <v>646160.9399999999</v>
      </c>
      <c r="G139" s="6">
        <f>E139-F139</f>
        <v/>
      </c>
      <c r="H139" s="8">
        <f>IFERROR((E139-F139)/E139,"")</f>
        <v/>
      </c>
      <c r="I139" s="6" t="n">
        <v>-148048.96</v>
      </c>
    </row>
    <row r="140">
      <c r="A140" t="inlineStr">
        <is>
          <t>Gresham</t>
        </is>
      </c>
      <c r="B140" t="inlineStr">
        <is>
          <t>GRS-QLT</t>
        </is>
      </c>
      <c r="C140" t="inlineStr">
        <is>
          <t>Quality</t>
        </is>
      </c>
      <c r="D140" s="7" t="n">
        <v>46082</v>
      </c>
      <c r="E140" s="6" t="n">
        <v>563586.28</v>
      </c>
      <c r="F140" s="6" t="n">
        <v>658632.25</v>
      </c>
      <c r="G140" s="6">
        <f>E140-F140</f>
        <v/>
      </c>
      <c r="H140" s="8">
        <f>IFERROR((E140-F140)/E140,"")</f>
        <v/>
      </c>
      <c r="I140" s="6" t="n">
        <v>-243094.93</v>
      </c>
    </row>
    <row r="141">
      <c r="A141" t="inlineStr">
        <is>
          <t>Gresham</t>
        </is>
      </c>
      <c r="B141" t="inlineStr">
        <is>
          <t>GRS-QLT</t>
        </is>
      </c>
      <c r="C141" t="inlineStr">
        <is>
          <t>Quality</t>
        </is>
      </c>
      <c r="D141" s="7" t="n">
        <v>46113</v>
      </c>
      <c r="E141" s="6" t="n">
        <v>552643.86</v>
      </c>
      <c r="F141" s="6" t="n">
        <v>651124.37</v>
      </c>
      <c r="G141" s="6">
        <f>E141-F141</f>
        <v/>
      </c>
      <c r="H141" s="8">
        <f>IFERROR((E141-F141)/E141,"")</f>
        <v/>
      </c>
      <c r="I141" s="6" t="n">
        <v>-341575.44</v>
      </c>
    </row>
    <row r="142">
      <c r="A142" t="inlineStr">
        <is>
          <t>Gresham</t>
        </is>
      </c>
      <c r="B142" t="inlineStr">
        <is>
          <t>GRS-QLT</t>
        </is>
      </c>
      <c r="C142" t="inlineStr">
        <is>
          <t>Quality</t>
        </is>
      </c>
      <c r="D142" s="7" t="n">
        <v>46143</v>
      </c>
      <c r="E142" s="6" t="n">
        <v>555624.62</v>
      </c>
      <c r="F142" s="6" t="n">
        <v>657808.33</v>
      </c>
      <c r="G142" s="6">
        <f>E142-F142</f>
        <v/>
      </c>
      <c r="H142" s="8">
        <f>IFERROR((E142-F142)/E142,"")</f>
        <v/>
      </c>
      <c r="I142" s="6" t="n">
        <v>-443759.15</v>
      </c>
    </row>
    <row r="143">
      <c r="A143" t="inlineStr">
        <is>
          <t>Gresham</t>
        </is>
      </c>
      <c r="B143" t="inlineStr">
        <is>
          <t>GRS-QLT</t>
        </is>
      </c>
      <c r="C143" t="inlineStr">
        <is>
          <t>Quality</t>
        </is>
      </c>
      <c r="D143" s="7" t="n">
        <v>46174</v>
      </c>
      <c r="E143" s="6" t="n">
        <v>559992.02</v>
      </c>
      <c r="F143" s="6" t="n">
        <v>636400.77</v>
      </c>
      <c r="G143" s="6">
        <f>E143-F143</f>
        <v/>
      </c>
      <c r="H143" s="8">
        <f>IFERROR((E143-F143)/E143,"")</f>
        <v/>
      </c>
      <c r="I143" s="6" t="n">
        <v>-520167.9</v>
      </c>
    </row>
    <row r="144">
      <c r="A144" t="inlineStr">
        <is>
          <t>Gresham</t>
        </is>
      </c>
      <c r="B144" t="inlineStr">
        <is>
          <t>GRS-QLT</t>
        </is>
      </c>
      <c r="C144" t="inlineStr">
        <is>
          <t>Quality</t>
        </is>
      </c>
      <c r="D144" s="7" t="n">
        <v>46204</v>
      </c>
      <c r="E144" s="6" t="n">
        <v>575853.0600000001</v>
      </c>
      <c r="F144" s="6" t="n">
        <v>670684.84</v>
      </c>
      <c r="G144" s="6">
        <f>E144-F144</f>
        <v/>
      </c>
      <c r="H144" s="8">
        <f>IFERROR((E144-F144)/E144,"")</f>
        <v/>
      </c>
      <c r="I144" s="6" t="n">
        <v>-614999.6800000001</v>
      </c>
    </row>
    <row r="145">
      <c r="A145" t="inlineStr">
        <is>
          <t>Gresham</t>
        </is>
      </c>
      <c r="B145" t="inlineStr">
        <is>
          <t>GRS-QLT</t>
        </is>
      </c>
      <c r="C145" t="inlineStr">
        <is>
          <t>Quality</t>
        </is>
      </c>
      <c r="D145" s="7" t="n">
        <v>46235</v>
      </c>
      <c r="E145" s="6" t="n">
        <v>584175.26</v>
      </c>
      <c r="F145" s="6" t="n">
        <v>668726.38</v>
      </c>
      <c r="G145" s="6">
        <f>E145-F145</f>
        <v/>
      </c>
      <c r="H145" s="8">
        <f>IFERROR((E145-F145)/E145,"")</f>
        <v/>
      </c>
      <c r="I145" s="6" t="n">
        <v>-699550.8</v>
      </c>
    </row>
    <row r="146">
      <c r="A146" t="inlineStr">
        <is>
          <t>Gresham</t>
        </is>
      </c>
      <c r="B146" t="inlineStr">
        <is>
          <t>GRS-SCM</t>
        </is>
      </c>
      <c r="C146" t="inlineStr">
        <is>
          <t>Supply Chain</t>
        </is>
      </c>
      <c r="D146" s="7" t="n">
        <v>45170</v>
      </c>
      <c r="E146" s="6" t="n">
        <v>713765.92</v>
      </c>
      <c r="F146" s="6" t="n">
        <v>902954.38</v>
      </c>
      <c r="G146" s="6">
        <f>E146-F146</f>
        <v/>
      </c>
      <c r="H146" s="8">
        <f>IFERROR((E146-F146)/E146,"")</f>
        <v/>
      </c>
      <c r="I146" s="6" t="n">
        <v>-189188.46</v>
      </c>
    </row>
    <row r="147">
      <c r="A147" t="inlineStr">
        <is>
          <t>Gresham</t>
        </is>
      </c>
      <c r="B147" t="inlineStr">
        <is>
          <t>GRS-SCM</t>
        </is>
      </c>
      <c r="C147" t="inlineStr">
        <is>
          <t>Supply Chain</t>
        </is>
      </c>
      <c r="D147" s="7" t="n">
        <v>45200</v>
      </c>
      <c r="E147" s="6" t="n">
        <v>717398.23</v>
      </c>
      <c r="F147" s="6" t="n">
        <v>880227.53</v>
      </c>
      <c r="G147" s="6">
        <f>E147-F147</f>
        <v/>
      </c>
      <c r="H147" s="8">
        <f>IFERROR((E147-F147)/E147,"")</f>
        <v/>
      </c>
      <c r="I147" s="6" t="n">
        <v>-352017.76</v>
      </c>
    </row>
    <row r="148">
      <c r="A148" t="inlineStr">
        <is>
          <t>Gresham</t>
        </is>
      </c>
      <c r="B148" t="inlineStr">
        <is>
          <t>GRS-SCM</t>
        </is>
      </c>
      <c r="C148" t="inlineStr">
        <is>
          <t>Supply Chain</t>
        </is>
      </c>
      <c r="D148" s="7" t="n">
        <v>45231</v>
      </c>
      <c r="E148" s="6" t="n">
        <v>711759.01</v>
      </c>
      <c r="F148" s="6" t="n">
        <v>903233.28</v>
      </c>
      <c r="G148" s="6">
        <f>E148-F148</f>
        <v/>
      </c>
      <c r="H148" s="8">
        <f>IFERROR((E148-F148)/E148,"")</f>
        <v/>
      </c>
      <c r="I148" s="6" t="n">
        <v>-543492.03</v>
      </c>
    </row>
    <row r="149">
      <c r="A149" t="inlineStr">
        <is>
          <t>Gresham</t>
        </is>
      </c>
      <c r="B149" t="inlineStr">
        <is>
          <t>GRS-SCM</t>
        </is>
      </c>
      <c r="C149" t="inlineStr">
        <is>
          <t>Supply Chain</t>
        </is>
      </c>
      <c r="D149" s="7" t="n">
        <v>45261</v>
      </c>
      <c r="E149" s="6" t="n">
        <v>702452.71</v>
      </c>
      <c r="F149" s="6" t="n">
        <v>884802.01</v>
      </c>
      <c r="G149" s="6">
        <f>E149-F149</f>
        <v/>
      </c>
      <c r="H149" s="8">
        <f>IFERROR((E149-F149)/E149,"")</f>
        <v/>
      </c>
      <c r="I149" s="6" t="n">
        <v>-725841.33</v>
      </c>
    </row>
    <row r="150">
      <c r="A150" t="inlineStr">
        <is>
          <t>Gresham</t>
        </is>
      </c>
      <c r="B150" t="inlineStr">
        <is>
          <t>GRS-SCM</t>
        </is>
      </c>
      <c r="C150" t="inlineStr">
        <is>
          <t>Supply Chain</t>
        </is>
      </c>
      <c r="D150" s="7" t="n">
        <v>45292</v>
      </c>
      <c r="E150" s="6" t="n">
        <v>688609.05</v>
      </c>
      <c r="F150" s="6" t="n">
        <v>865141.36</v>
      </c>
      <c r="G150" s="6">
        <f>E150-F150</f>
        <v/>
      </c>
      <c r="H150" s="8">
        <f>IFERROR((E150-F150)/E150,"")</f>
        <v/>
      </c>
      <c r="I150" s="6" t="n">
        <v>-176532.31</v>
      </c>
    </row>
    <row r="151">
      <c r="A151" t="inlineStr">
        <is>
          <t>Gresham</t>
        </is>
      </c>
      <c r="B151" t="inlineStr">
        <is>
          <t>GRS-SCM</t>
        </is>
      </c>
      <c r="C151" t="inlineStr">
        <is>
          <t>Supply Chain</t>
        </is>
      </c>
      <c r="D151" s="7" t="n">
        <v>45323</v>
      </c>
      <c r="E151" s="6" t="n">
        <v>674399.83</v>
      </c>
      <c r="F151" s="6" t="n">
        <v>875552.25</v>
      </c>
      <c r="G151" s="6">
        <f>E151-F151</f>
        <v/>
      </c>
      <c r="H151" s="8">
        <f>IFERROR((E151-F151)/E151,"")</f>
        <v/>
      </c>
      <c r="I151" s="6" t="n">
        <v>-377684.73</v>
      </c>
    </row>
    <row r="152">
      <c r="A152" t="inlineStr">
        <is>
          <t>Gresham</t>
        </is>
      </c>
      <c r="B152" t="inlineStr">
        <is>
          <t>GRS-SCM</t>
        </is>
      </c>
      <c r="C152" t="inlineStr">
        <is>
          <t>Supply Chain</t>
        </is>
      </c>
      <c r="D152" s="7" t="n">
        <v>45352</v>
      </c>
      <c r="E152" s="6" t="n">
        <v>655789.3100000001</v>
      </c>
      <c r="F152" s="6" t="n">
        <v>831893.76</v>
      </c>
      <c r="G152" s="6">
        <f>E152-F152</f>
        <v/>
      </c>
      <c r="H152" s="8">
        <f>IFERROR((E152-F152)/E152,"")</f>
        <v/>
      </c>
      <c r="I152" s="6" t="n">
        <v>-553789.1800000001</v>
      </c>
    </row>
    <row r="153">
      <c r="A153" t="inlineStr">
        <is>
          <t>Gresham</t>
        </is>
      </c>
      <c r="B153" t="inlineStr">
        <is>
          <t>GRS-SCM</t>
        </is>
      </c>
      <c r="C153" t="inlineStr">
        <is>
          <t>Supply Chain</t>
        </is>
      </c>
      <c r="D153" s="7" t="n">
        <v>45383</v>
      </c>
      <c r="E153" s="6" t="n">
        <v>637101.75</v>
      </c>
      <c r="F153" s="6" t="n">
        <v>823025.3199999999</v>
      </c>
      <c r="G153" s="6">
        <f>E153-F153</f>
        <v/>
      </c>
      <c r="H153" s="8">
        <f>IFERROR((E153-F153)/E153,"")</f>
        <v/>
      </c>
      <c r="I153" s="6" t="n">
        <v>-739712.75</v>
      </c>
    </row>
    <row r="154">
      <c r="A154" t="inlineStr">
        <is>
          <t>Gresham</t>
        </is>
      </c>
      <c r="B154" t="inlineStr">
        <is>
          <t>GRS-SCM</t>
        </is>
      </c>
      <c r="C154" t="inlineStr">
        <is>
          <t>Supply Chain</t>
        </is>
      </c>
      <c r="D154" s="7" t="n">
        <v>45413</v>
      </c>
      <c r="E154" s="6" t="n">
        <v>641721.6</v>
      </c>
      <c r="F154" s="6" t="n">
        <v>865204.8</v>
      </c>
      <c r="G154" s="6">
        <f>E154-F154</f>
        <v/>
      </c>
      <c r="H154" s="8">
        <f>IFERROR((E154-F154)/E154,"")</f>
        <v/>
      </c>
      <c r="I154" s="6" t="n">
        <v>-963195.95</v>
      </c>
    </row>
    <row r="155">
      <c r="A155" t="inlineStr">
        <is>
          <t>Gresham</t>
        </is>
      </c>
      <c r="B155" t="inlineStr">
        <is>
          <t>GRS-SCM</t>
        </is>
      </c>
      <c r="C155" t="inlineStr">
        <is>
          <t>Supply Chain</t>
        </is>
      </c>
      <c r="D155" s="7" t="n">
        <v>45444</v>
      </c>
      <c r="E155" s="6" t="n">
        <v>653174.14</v>
      </c>
      <c r="F155" s="6" t="n">
        <v>843507.54</v>
      </c>
      <c r="G155" s="6">
        <f>E155-F155</f>
        <v/>
      </c>
      <c r="H155" s="8">
        <f>IFERROR((E155-F155)/E155,"")</f>
        <v/>
      </c>
      <c r="I155" s="6" t="n">
        <v>-1153529.35</v>
      </c>
    </row>
    <row r="156">
      <c r="A156" t="inlineStr">
        <is>
          <t>Gresham</t>
        </is>
      </c>
      <c r="B156" t="inlineStr">
        <is>
          <t>GRS-SCM</t>
        </is>
      </c>
      <c r="C156" t="inlineStr">
        <is>
          <t>Supply Chain</t>
        </is>
      </c>
      <c r="D156" s="7" t="n">
        <v>45474</v>
      </c>
      <c r="E156" s="6" t="n">
        <v>655660.51</v>
      </c>
      <c r="F156" s="6" t="n">
        <v>812745.74</v>
      </c>
      <c r="G156" s="6">
        <f>E156-F156</f>
        <v/>
      </c>
      <c r="H156" s="8">
        <f>IFERROR((E156-F156)/E156,"")</f>
        <v/>
      </c>
      <c r="I156" s="6" t="n">
        <v>-1310614.58</v>
      </c>
    </row>
    <row r="157">
      <c r="A157" t="inlineStr">
        <is>
          <t>Gresham</t>
        </is>
      </c>
      <c r="B157" t="inlineStr">
        <is>
          <t>GRS-SCM</t>
        </is>
      </c>
      <c r="C157" t="inlineStr">
        <is>
          <t>Supply Chain</t>
        </is>
      </c>
      <c r="D157" s="7" t="n">
        <v>45505</v>
      </c>
      <c r="E157" s="6" t="n">
        <v>681617.0699999999</v>
      </c>
      <c r="F157" s="6" t="n">
        <v>844054.58</v>
      </c>
      <c r="G157" s="6">
        <f>E157-F157</f>
        <v/>
      </c>
      <c r="H157" s="8">
        <f>IFERROR((E157-F157)/E157,"")</f>
        <v/>
      </c>
      <c r="I157" s="6" t="n">
        <v>-1473052.09</v>
      </c>
    </row>
    <row r="158">
      <c r="A158" t="inlineStr">
        <is>
          <t>Gresham</t>
        </is>
      </c>
      <c r="B158" t="inlineStr">
        <is>
          <t>GRS-SCM</t>
        </is>
      </c>
      <c r="C158" t="inlineStr">
        <is>
          <t>Supply Chain</t>
        </is>
      </c>
      <c r="D158" s="7" t="n">
        <v>45536</v>
      </c>
      <c r="E158" s="6" t="n">
        <v>686827.74</v>
      </c>
      <c r="F158" s="6" t="n">
        <v>860861.76</v>
      </c>
      <c r="G158" s="6">
        <f>E158-F158</f>
        <v/>
      </c>
      <c r="H158" s="8">
        <f>IFERROR((E158-F158)/E158,"")</f>
        <v/>
      </c>
      <c r="I158" s="6" t="n">
        <v>-1647086.11</v>
      </c>
    </row>
    <row r="159">
      <c r="A159" t="inlineStr">
        <is>
          <t>Gresham</t>
        </is>
      </c>
      <c r="B159" t="inlineStr">
        <is>
          <t>GRS-SCM</t>
        </is>
      </c>
      <c r="C159" t="inlineStr">
        <is>
          <t>Supply Chain</t>
        </is>
      </c>
      <c r="D159" s="7" t="n">
        <v>45566</v>
      </c>
      <c r="E159" s="6" t="n">
        <v>694195.73</v>
      </c>
      <c r="F159" s="6" t="n">
        <v>841679.84</v>
      </c>
      <c r="G159" s="6">
        <f>E159-F159</f>
        <v/>
      </c>
      <c r="H159" s="8">
        <f>IFERROR((E159-F159)/E159,"")</f>
        <v/>
      </c>
      <c r="I159" s="6" t="n">
        <v>-1794570.22</v>
      </c>
    </row>
    <row r="160">
      <c r="A160" t="inlineStr">
        <is>
          <t>Gresham</t>
        </is>
      </c>
      <c r="B160" t="inlineStr">
        <is>
          <t>GRS-SCM</t>
        </is>
      </c>
      <c r="C160" t="inlineStr">
        <is>
          <t>Supply Chain</t>
        </is>
      </c>
      <c r="D160" s="7" t="n">
        <v>45597</v>
      </c>
      <c r="E160" s="6" t="n">
        <v>703601.11</v>
      </c>
      <c r="F160" s="6" t="n">
        <v>833122.01</v>
      </c>
      <c r="G160" s="6">
        <f>E160-F160</f>
        <v/>
      </c>
      <c r="H160" s="8">
        <f>IFERROR((E160-F160)/E160,"")</f>
        <v/>
      </c>
      <c r="I160" s="6" t="n">
        <v>-1924091.12</v>
      </c>
    </row>
    <row r="161">
      <c r="A161" t="inlineStr">
        <is>
          <t>Gresham</t>
        </is>
      </c>
      <c r="B161" t="inlineStr">
        <is>
          <t>GRS-SCM</t>
        </is>
      </c>
      <c r="C161" t="inlineStr">
        <is>
          <t>Supply Chain</t>
        </is>
      </c>
      <c r="D161" s="7" t="n">
        <v>45627</v>
      </c>
      <c r="E161" s="6" t="n">
        <v>685124.16</v>
      </c>
      <c r="F161" s="6" t="n">
        <v>837660.15</v>
      </c>
      <c r="G161" s="6">
        <f>E161-F161</f>
        <v/>
      </c>
      <c r="H161" s="8">
        <f>IFERROR((E161-F161)/E161,"")</f>
        <v/>
      </c>
      <c r="I161" s="6" t="n">
        <v>-2076627.11</v>
      </c>
    </row>
    <row r="162">
      <c r="A162" t="inlineStr">
        <is>
          <t>Gresham</t>
        </is>
      </c>
      <c r="B162" t="inlineStr">
        <is>
          <t>GRS-SCM</t>
        </is>
      </c>
      <c r="C162" t="inlineStr">
        <is>
          <t>Supply Chain</t>
        </is>
      </c>
      <c r="D162" s="7" t="n">
        <v>45658</v>
      </c>
      <c r="E162" s="6" t="n">
        <v>676177.1800000001</v>
      </c>
      <c r="F162" s="6" t="n">
        <v>839969.1899999999</v>
      </c>
      <c r="G162" s="6">
        <f>E162-F162</f>
        <v/>
      </c>
      <c r="H162" s="8">
        <f>IFERROR((E162-F162)/E162,"")</f>
        <v/>
      </c>
      <c r="I162" s="6" t="n">
        <v>-163792.01</v>
      </c>
    </row>
    <row r="163">
      <c r="A163" t="inlineStr">
        <is>
          <t>Gresham</t>
        </is>
      </c>
      <c r="B163" t="inlineStr">
        <is>
          <t>GRS-SCM</t>
        </is>
      </c>
      <c r="C163" t="inlineStr">
        <is>
          <t>Supply Chain</t>
        </is>
      </c>
      <c r="D163" s="7" t="n">
        <v>45689</v>
      </c>
      <c r="E163" s="6" t="n">
        <v>647286.27</v>
      </c>
      <c r="F163" s="6" t="n">
        <v>811748.4</v>
      </c>
      <c r="G163" s="6">
        <f>E163-F163</f>
        <v/>
      </c>
      <c r="H163" s="8">
        <f>IFERROR((E163-F163)/E163,"")</f>
        <v/>
      </c>
      <c r="I163" s="6" t="n">
        <v>-328254.14</v>
      </c>
    </row>
    <row r="164">
      <c r="A164" t="inlineStr">
        <is>
          <t>Gresham</t>
        </is>
      </c>
      <c r="B164" t="inlineStr">
        <is>
          <t>GRS-SCM</t>
        </is>
      </c>
      <c r="C164" t="inlineStr">
        <is>
          <t>Supply Chain</t>
        </is>
      </c>
      <c r="D164" s="7" t="n">
        <v>45717</v>
      </c>
      <c r="E164" s="6" t="n">
        <v>642435.26</v>
      </c>
      <c r="F164" s="6" t="n">
        <v>840631.3100000001</v>
      </c>
      <c r="G164" s="6">
        <f>E164-F164</f>
        <v/>
      </c>
      <c r="H164" s="8">
        <f>IFERROR((E164-F164)/E164,"")</f>
        <v/>
      </c>
      <c r="I164" s="6" t="n">
        <v>-526450.1899999999</v>
      </c>
    </row>
    <row r="165">
      <c r="A165" t="inlineStr">
        <is>
          <t>Gresham</t>
        </is>
      </c>
      <c r="B165" t="inlineStr">
        <is>
          <t>GRS-SCM</t>
        </is>
      </c>
      <c r="C165" t="inlineStr">
        <is>
          <t>Supply Chain</t>
        </is>
      </c>
      <c r="D165" s="7" t="n">
        <v>45748</v>
      </c>
      <c r="E165" s="6" t="n">
        <v>628787.16</v>
      </c>
      <c r="F165" s="6" t="n">
        <v>806922.24</v>
      </c>
      <c r="G165" s="6">
        <f>E165-F165</f>
        <v/>
      </c>
      <c r="H165" s="8">
        <f>IFERROR((E165-F165)/E165,"")</f>
        <v/>
      </c>
      <c r="I165" s="6" t="n">
        <v>-704585.27</v>
      </c>
    </row>
    <row r="166">
      <c r="A166" t="inlineStr">
        <is>
          <t>Gresham</t>
        </is>
      </c>
      <c r="B166" t="inlineStr">
        <is>
          <t>GRS-SCM</t>
        </is>
      </c>
      <c r="C166" t="inlineStr">
        <is>
          <t>Supply Chain</t>
        </is>
      </c>
      <c r="D166" s="7" t="n">
        <v>45778</v>
      </c>
      <c r="E166" s="6" t="n">
        <v>628182.79</v>
      </c>
      <c r="F166" s="6" t="n">
        <v>805564.75</v>
      </c>
      <c r="G166" s="6">
        <f>E166-F166</f>
        <v/>
      </c>
      <c r="H166" s="8">
        <f>IFERROR((E166-F166)/E166,"")</f>
        <v/>
      </c>
      <c r="I166" s="6" t="n">
        <v>-881967.23</v>
      </c>
    </row>
    <row r="167">
      <c r="A167" t="inlineStr">
        <is>
          <t>Gresham</t>
        </is>
      </c>
      <c r="B167" t="inlineStr">
        <is>
          <t>GRS-SCM</t>
        </is>
      </c>
      <c r="C167" t="inlineStr">
        <is>
          <t>Supply Chain</t>
        </is>
      </c>
      <c r="D167" s="7" t="n">
        <v>45809</v>
      </c>
      <c r="E167" s="6" t="n">
        <v>628929.1899999999</v>
      </c>
      <c r="F167" s="6" t="n">
        <v>790238.62</v>
      </c>
      <c r="G167" s="6">
        <f>E167-F167</f>
        <v/>
      </c>
      <c r="H167" s="8">
        <f>IFERROR((E167-F167)/E167,"")</f>
        <v/>
      </c>
      <c r="I167" s="6" t="n">
        <v>-1043276.66</v>
      </c>
    </row>
    <row r="168">
      <c r="A168" t="inlineStr">
        <is>
          <t>Gresham</t>
        </is>
      </c>
      <c r="B168" t="inlineStr">
        <is>
          <t>GRS-SCM</t>
        </is>
      </c>
      <c r="C168" t="inlineStr">
        <is>
          <t>Supply Chain</t>
        </is>
      </c>
      <c r="D168" s="7" t="n">
        <v>45839</v>
      </c>
      <c r="E168" s="6" t="n">
        <v>650703.64</v>
      </c>
      <c r="F168" s="6" t="n">
        <v>798656.21</v>
      </c>
      <c r="G168" s="6">
        <f>E168-F168</f>
        <v/>
      </c>
      <c r="H168" s="8">
        <f>IFERROR((E168-F168)/E168,"")</f>
        <v/>
      </c>
      <c r="I168" s="6" t="n">
        <v>-1191229.23</v>
      </c>
    </row>
    <row r="169">
      <c r="A169" t="inlineStr">
        <is>
          <t>Gresham</t>
        </is>
      </c>
      <c r="B169" t="inlineStr">
        <is>
          <t>GRS-SCM</t>
        </is>
      </c>
      <c r="C169" t="inlineStr">
        <is>
          <t>Supply Chain</t>
        </is>
      </c>
      <c r="D169" s="7" t="n">
        <v>45870</v>
      </c>
      <c r="E169" s="6" t="n">
        <v>660703</v>
      </c>
      <c r="F169" s="6" t="n">
        <v>834654.34</v>
      </c>
      <c r="G169" s="6">
        <f>E169-F169</f>
        <v/>
      </c>
      <c r="H169" s="8">
        <f>IFERROR((E169-F169)/E169,"")</f>
        <v/>
      </c>
      <c r="I169" s="6" t="n">
        <v>-1365180.57</v>
      </c>
    </row>
    <row r="170">
      <c r="A170" t="inlineStr">
        <is>
          <t>Gresham</t>
        </is>
      </c>
      <c r="B170" t="inlineStr">
        <is>
          <t>GRS-SCM</t>
        </is>
      </c>
      <c r="C170" t="inlineStr">
        <is>
          <t>Supply Chain</t>
        </is>
      </c>
      <c r="D170" s="7" t="n">
        <v>45901</v>
      </c>
      <c r="E170" s="6" t="n">
        <v>671351.45</v>
      </c>
      <c r="F170" s="6" t="n">
        <v>831347.7</v>
      </c>
      <c r="G170" s="6">
        <f>E170-F170</f>
        <v/>
      </c>
      <c r="H170" s="8">
        <f>IFERROR((E170-F170)/E170,"")</f>
        <v/>
      </c>
      <c r="I170" s="6" t="n">
        <v>-1525176.82</v>
      </c>
    </row>
    <row r="171">
      <c r="A171" t="inlineStr">
        <is>
          <t>Gresham</t>
        </is>
      </c>
      <c r="B171" t="inlineStr">
        <is>
          <t>GRS-SCM</t>
        </is>
      </c>
      <c r="C171" t="inlineStr">
        <is>
          <t>Supply Chain</t>
        </is>
      </c>
      <c r="D171" s="7" t="n">
        <v>45931</v>
      </c>
      <c r="E171" s="6" t="n">
        <v>677191.1800000001</v>
      </c>
      <c r="F171" s="6" t="n">
        <v>840145.2</v>
      </c>
      <c r="G171" s="6">
        <f>E171-F171</f>
        <v/>
      </c>
      <c r="H171" s="8">
        <f>IFERROR((E171-F171)/E171,"")</f>
        <v/>
      </c>
      <c r="I171" s="6" t="n">
        <v>-1688130.84</v>
      </c>
    </row>
    <row r="172">
      <c r="A172" t="inlineStr">
        <is>
          <t>Gresham</t>
        </is>
      </c>
      <c r="B172" t="inlineStr">
        <is>
          <t>GRS-SCM</t>
        </is>
      </c>
      <c r="C172" t="inlineStr">
        <is>
          <t>Supply Chain</t>
        </is>
      </c>
      <c r="D172" s="7" t="n">
        <v>45962</v>
      </c>
      <c r="E172" s="6" t="n">
        <v>675436.3</v>
      </c>
      <c r="F172" s="6" t="n">
        <v>827942.49</v>
      </c>
      <c r="G172" s="6">
        <f>E172-F172</f>
        <v/>
      </c>
      <c r="H172" s="8">
        <f>IFERROR((E172-F172)/E172,"")</f>
        <v/>
      </c>
      <c r="I172" s="6" t="n">
        <v>-1840637.03</v>
      </c>
    </row>
    <row r="173">
      <c r="A173" t="inlineStr">
        <is>
          <t>Gresham</t>
        </is>
      </c>
      <c r="B173" t="inlineStr">
        <is>
          <t>GRS-SCM</t>
        </is>
      </c>
      <c r="C173" t="inlineStr">
        <is>
          <t>Supply Chain</t>
        </is>
      </c>
      <c r="D173" s="7" t="n">
        <v>45992</v>
      </c>
      <c r="E173" s="6" t="n">
        <v>677594.25</v>
      </c>
      <c r="F173" s="6" t="n">
        <v>846820.96</v>
      </c>
      <c r="G173" s="6">
        <f>E173-F173</f>
        <v/>
      </c>
      <c r="H173" s="8">
        <f>IFERROR((E173-F173)/E173,"")</f>
        <v/>
      </c>
      <c r="I173" s="6" t="n">
        <v>-2009863.74</v>
      </c>
    </row>
    <row r="174">
      <c r="A174" t="inlineStr">
        <is>
          <t>Gresham</t>
        </is>
      </c>
      <c r="B174" t="inlineStr">
        <is>
          <t>GRS-SCM</t>
        </is>
      </c>
      <c r="C174" t="inlineStr">
        <is>
          <t>Supply Chain</t>
        </is>
      </c>
      <c r="D174" s="7" t="n">
        <v>46023</v>
      </c>
      <c r="E174" s="6" t="n">
        <v>656968.87</v>
      </c>
      <c r="F174" s="6" t="n">
        <v>837932.64</v>
      </c>
      <c r="G174" s="6">
        <f>E174-F174</f>
        <v/>
      </c>
      <c r="H174" s="8">
        <f>IFERROR((E174-F174)/E174,"")</f>
        <v/>
      </c>
      <c r="I174" s="6" t="n">
        <v>-180963.77</v>
      </c>
    </row>
    <row r="175">
      <c r="A175" t="inlineStr">
        <is>
          <t>Gresham</t>
        </is>
      </c>
      <c r="B175" t="inlineStr">
        <is>
          <t>GRS-SCM</t>
        </is>
      </c>
      <c r="C175" t="inlineStr">
        <is>
          <t>Supply Chain</t>
        </is>
      </c>
      <c r="D175" s="7" t="n">
        <v>46054</v>
      </c>
      <c r="E175" s="6" t="n">
        <v>642804.47</v>
      </c>
      <c r="F175" s="6" t="n">
        <v>821622.59</v>
      </c>
      <c r="G175" s="6">
        <f>E175-F175</f>
        <v/>
      </c>
      <c r="H175" s="8">
        <f>IFERROR((E175-F175)/E175,"")</f>
        <v/>
      </c>
      <c r="I175" s="6" t="n">
        <v>-359781.89</v>
      </c>
    </row>
    <row r="176">
      <c r="A176" t="inlineStr">
        <is>
          <t>Gresham</t>
        </is>
      </c>
      <c r="B176" t="inlineStr">
        <is>
          <t>GRS-SCM</t>
        </is>
      </c>
      <c r="C176" t="inlineStr">
        <is>
          <t>Supply Chain</t>
        </is>
      </c>
      <c r="D176" s="7" t="n">
        <v>46082</v>
      </c>
      <c r="E176" s="6" t="n">
        <v>625324.9</v>
      </c>
      <c r="F176" s="6" t="n">
        <v>807201.91</v>
      </c>
      <c r="G176" s="6">
        <f>E176-F176</f>
        <v/>
      </c>
      <c r="H176" s="8">
        <f>IFERROR((E176-F176)/E176,"")</f>
        <v/>
      </c>
      <c r="I176" s="6" t="n">
        <v>-541658.9</v>
      </c>
    </row>
    <row r="177">
      <c r="A177" t="inlineStr">
        <is>
          <t>Gresham</t>
        </is>
      </c>
      <c r="B177" t="inlineStr">
        <is>
          <t>GRS-SCM</t>
        </is>
      </c>
      <c r="C177" t="inlineStr">
        <is>
          <t>Supply Chain</t>
        </is>
      </c>
      <c r="D177" s="7" t="n">
        <v>46113</v>
      </c>
      <c r="E177" s="6" t="n">
        <v>610773.22</v>
      </c>
      <c r="F177" s="6" t="n">
        <v>821989.87</v>
      </c>
      <c r="G177" s="6">
        <f>E177-F177</f>
        <v/>
      </c>
      <c r="H177" s="8">
        <f>IFERROR((E177-F177)/E177,"")</f>
        <v/>
      </c>
      <c r="I177" s="6" t="n">
        <v>-752875.55</v>
      </c>
    </row>
    <row r="178">
      <c r="A178" t="inlineStr">
        <is>
          <t>Gresham</t>
        </is>
      </c>
      <c r="B178" t="inlineStr">
        <is>
          <t>GRS-SCM</t>
        </is>
      </c>
      <c r="C178" t="inlineStr">
        <is>
          <t>Supply Chain</t>
        </is>
      </c>
      <c r="D178" s="7" t="n">
        <v>46143</v>
      </c>
      <c r="E178" s="6" t="n">
        <v>610107.02</v>
      </c>
      <c r="F178" s="6" t="n">
        <v>824656.63</v>
      </c>
      <c r="G178" s="6">
        <f>E178-F178</f>
        <v/>
      </c>
      <c r="H178" s="8">
        <f>IFERROR((E178-F178)/E178,"")</f>
        <v/>
      </c>
      <c r="I178" s="6" t="n">
        <v>-967425.16</v>
      </c>
    </row>
    <row r="179">
      <c r="A179" t="inlineStr">
        <is>
          <t>Gresham</t>
        </is>
      </c>
      <c r="B179" t="inlineStr">
        <is>
          <t>GRS-SCM</t>
        </is>
      </c>
      <c r="C179" t="inlineStr">
        <is>
          <t>Supply Chain</t>
        </is>
      </c>
      <c r="D179" s="7" t="n">
        <v>46174</v>
      </c>
      <c r="E179" s="6" t="n">
        <v>612436.99</v>
      </c>
      <c r="F179" s="6" t="n">
        <v>781518.6</v>
      </c>
      <c r="G179" s="6">
        <f>E179-F179</f>
        <v/>
      </c>
      <c r="H179" s="8">
        <f>IFERROR((E179-F179)/E179,"")</f>
        <v/>
      </c>
      <c r="I179" s="6" t="n">
        <v>-1136506.77</v>
      </c>
    </row>
    <row r="180">
      <c r="A180" t="inlineStr">
        <is>
          <t>Gresham</t>
        </is>
      </c>
      <c r="B180" t="inlineStr">
        <is>
          <t>GRS-SCM</t>
        </is>
      </c>
      <c r="C180" t="inlineStr">
        <is>
          <t>Supply Chain</t>
        </is>
      </c>
      <c r="D180" s="7" t="n">
        <v>46204</v>
      </c>
      <c r="E180" s="6" t="n">
        <v>630725.14</v>
      </c>
      <c r="F180" s="6" t="n">
        <v>825907.76</v>
      </c>
      <c r="G180" s="6">
        <f>E180-F180</f>
        <v/>
      </c>
      <c r="H180" s="8">
        <f>IFERROR((E180-F180)/E180,"")</f>
        <v/>
      </c>
      <c r="I180" s="6" t="n">
        <v>-1331689.39</v>
      </c>
    </row>
    <row r="181">
      <c r="A181" t="inlineStr">
        <is>
          <t>Gresham</t>
        </is>
      </c>
      <c r="B181" t="inlineStr">
        <is>
          <t>GRS-SCM</t>
        </is>
      </c>
      <c r="C181" t="inlineStr">
        <is>
          <t>Supply Chain</t>
        </is>
      </c>
      <c r="D181" s="7" t="n">
        <v>46235</v>
      </c>
      <c r="E181" s="6" t="n">
        <v>651793.54</v>
      </c>
      <c r="F181" s="6" t="n">
        <v>836890.4</v>
      </c>
      <c r="G181" s="6">
        <f>E181-F181</f>
        <v/>
      </c>
      <c r="H181" s="8">
        <f>IFERROR((E181-F181)/E181,"")</f>
        <v/>
      </c>
      <c r="I181" s="6" t="n">
        <v>-1516786.25</v>
      </c>
    </row>
    <row r="182">
      <c r="A182" t="inlineStr">
        <is>
          <t>Gresham</t>
        </is>
      </c>
      <c r="B182" t="inlineStr">
        <is>
          <t>GRS-ENG</t>
        </is>
      </c>
      <c r="C182" t="inlineStr">
        <is>
          <t>Engineering</t>
        </is>
      </c>
      <c r="D182" s="7" t="n">
        <v>45170</v>
      </c>
      <c r="E182" s="6" t="n">
        <v>1417883.87</v>
      </c>
      <c r="F182" s="6" t="n">
        <v>1433452.23</v>
      </c>
      <c r="G182" s="6">
        <f>E182-F182</f>
        <v/>
      </c>
      <c r="H182" s="8">
        <f>IFERROR((E182-F182)/E182,"")</f>
        <v/>
      </c>
      <c r="I182" s="6" t="n">
        <v>-15568.36</v>
      </c>
    </row>
    <row r="183">
      <c r="A183" t="inlineStr">
        <is>
          <t>Gresham</t>
        </is>
      </c>
      <c r="B183" t="inlineStr">
        <is>
          <t>GRS-ENG</t>
        </is>
      </c>
      <c r="C183" t="inlineStr">
        <is>
          <t>Engineering</t>
        </is>
      </c>
      <c r="D183" s="7" t="n">
        <v>45200</v>
      </c>
      <c r="E183" s="6" t="n">
        <v>1433825.12</v>
      </c>
      <c r="F183" s="6" t="n">
        <v>1417115.92</v>
      </c>
      <c r="G183" s="6">
        <f>E183-F183</f>
        <v/>
      </c>
      <c r="H183" s="8">
        <f>IFERROR((E183-F183)/E183,"")</f>
        <v/>
      </c>
      <c r="I183" s="6" t="n">
        <v>1140.84</v>
      </c>
    </row>
    <row r="184">
      <c r="A184" t="inlineStr">
        <is>
          <t>Gresham</t>
        </is>
      </c>
      <c r="B184" t="inlineStr">
        <is>
          <t>GRS-ENG</t>
        </is>
      </c>
      <c r="C184" t="inlineStr">
        <is>
          <t>Engineering</t>
        </is>
      </c>
      <c r="D184" s="7" t="n">
        <v>45231</v>
      </c>
      <c r="E184" s="6" t="n">
        <v>1428588.5</v>
      </c>
      <c r="F184" s="6" t="n">
        <v>1413568.39</v>
      </c>
      <c r="G184" s="6">
        <f>E184-F184</f>
        <v/>
      </c>
      <c r="H184" s="8">
        <f>IFERROR((E184-F184)/E184,"")</f>
        <v/>
      </c>
      <c r="I184" s="6" t="n">
        <v>16160.95</v>
      </c>
    </row>
    <row r="185">
      <c r="A185" t="inlineStr">
        <is>
          <t>Gresham</t>
        </is>
      </c>
      <c r="B185" t="inlineStr">
        <is>
          <t>GRS-ENG</t>
        </is>
      </c>
      <c r="C185" t="inlineStr">
        <is>
          <t>Engineering</t>
        </is>
      </c>
      <c r="D185" s="7" t="n">
        <v>45261</v>
      </c>
      <c r="E185" s="6" t="n">
        <v>1417045.31</v>
      </c>
      <c r="F185" s="6" t="n">
        <v>1410405.13</v>
      </c>
      <c r="G185" s="6">
        <f>E185-F185</f>
        <v/>
      </c>
      <c r="H185" s="8">
        <f>IFERROR((E185-F185)/E185,"")</f>
        <v/>
      </c>
      <c r="I185" s="6" t="n">
        <v>22801.13</v>
      </c>
    </row>
    <row r="186">
      <c r="A186" t="inlineStr">
        <is>
          <t>Gresham</t>
        </is>
      </c>
      <c r="B186" t="inlineStr">
        <is>
          <t>GRS-ENG</t>
        </is>
      </c>
      <c r="C186" t="inlineStr">
        <is>
          <t>Engineering</t>
        </is>
      </c>
      <c r="D186" s="7" t="n">
        <v>45292</v>
      </c>
      <c r="E186" s="6" t="n">
        <v>1373499.21</v>
      </c>
      <c r="F186" s="6" t="n">
        <v>1418295.28</v>
      </c>
      <c r="G186" s="6">
        <f>E186-F186</f>
        <v/>
      </c>
      <c r="H186" s="8">
        <f>IFERROR((E186-F186)/E186,"")</f>
        <v/>
      </c>
      <c r="I186" s="6" t="n">
        <v>-44796.07</v>
      </c>
    </row>
    <row r="187">
      <c r="A187" t="inlineStr">
        <is>
          <t>Gresham</t>
        </is>
      </c>
      <c r="B187" t="inlineStr">
        <is>
          <t>GRS-ENG</t>
        </is>
      </c>
      <c r="C187" t="inlineStr">
        <is>
          <t>Engineering</t>
        </is>
      </c>
      <c r="D187" s="7" t="n">
        <v>45323</v>
      </c>
      <c r="E187" s="6" t="n">
        <v>1334921.47</v>
      </c>
      <c r="F187" s="6" t="n">
        <v>1419195.11</v>
      </c>
      <c r="G187" s="6">
        <f>E187-F187</f>
        <v/>
      </c>
      <c r="H187" s="8">
        <f>IFERROR((E187-F187)/E187,"")</f>
        <v/>
      </c>
      <c r="I187" s="6" t="n">
        <v>-129069.71</v>
      </c>
    </row>
    <row r="188">
      <c r="A188" t="inlineStr">
        <is>
          <t>Gresham</t>
        </is>
      </c>
      <c r="B188" t="inlineStr">
        <is>
          <t>GRS-ENG</t>
        </is>
      </c>
      <c r="C188" t="inlineStr">
        <is>
          <t>Engineering</t>
        </is>
      </c>
      <c r="D188" s="7" t="n">
        <v>45352</v>
      </c>
      <c r="E188" s="6" t="n">
        <v>1306127.08</v>
      </c>
      <c r="F188" s="6" t="n">
        <v>1371081.04</v>
      </c>
      <c r="G188" s="6">
        <f>E188-F188</f>
        <v/>
      </c>
      <c r="H188" s="8">
        <f>IFERROR((E188-F188)/E188,"")</f>
        <v/>
      </c>
      <c r="I188" s="6" t="n">
        <v>-194023.67</v>
      </c>
    </row>
    <row r="189">
      <c r="A189" t="inlineStr">
        <is>
          <t>Gresham</t>
        </is>
      </c>
      <c r="B189" t="inlineStr">
        <is>
          <t>GRS-ENG</t>
        </is>
      </c>
      <c r="C189" t="inlineStr">
        <is>
          <t>Engineering</t>
        </is>
      </c>
      <c r="D189" s="7" t="n">
        <v>45383</v>
      </c>
      <c r="E189" s="6" t="n">
        <v>1286662.96</v>
      </c>
      <c r="F189" s="6" t="n">
        <v>1402057.2</v>
      </c>
      <c r="G189" s="6">
        <f>E189-F189</f>
        <v/>
      </c>
      <c r="H189" s="8">
        <f>IFERROR((E189-F189)/E189,"")</f>
        <v/>
      </c>
      <c r="I189" s="6" t="n">
        <v>-309417.91</v>
      </c>
    </row>
    <row r="190">
      <c r="A190" t="inlineStr">
        <is>
          <t>Gresham</t>
        </is>
      </c>
      <c r="B190" t="inlineStr">
        <is>
          <t>GRS-ENG</t>
        </is>
      </c>
      <c r="C190" t="inlineStr">
        <is>
          <t>Engineering</t>
        </is>
      </c>
      <c r="D190" s="7" t="n">
        <v>45413</v>
      </c>
      <c r="E190" s="6" t="n">
        <v>1289874.86</v>
      </c>
      <c r="F190" s="6" t="n">
        <v>1393969.84</v>
      </c>
      <c r="G190" s="6">
        <f>E190-F190</f>
        <v/>
      </c>
      <c r="H190" s="8">
        <f>IFERROR((E190-F190)/E190,"")</f>
        <v/>
      </c>
      <c r="I190" s="6" t="n">
        <v>-413512.89</v>
      </c>
    </row>
    <row r="191">
      <c r="A191" t="inlineStr">
        <is>
          <t>Gresham</t>
        </is>
      </c>
      <c r="B191" t="inlineStr">
        <is>
          <t>GRS-ENG</t>
        </is>
      </c>
      <c r="C191" t="inlineStr">
        <is>
          <t>Engineering</t>
        </is>
      </c>
      <c r="D191" s="7" t="n">
        <v>45444</v>
      </c>
      <c r="E191" s="6" t="n">
        <v>1296851.58</v>
      </c>
      <c r="F191" s="6" t="n">
        <v>1337501.49</v>
      </c>
      <c r="G191" s="6">
        <f>E191-F191</f>
        <v/>
      </c>
      <c r="H191" s="8">
        <f>IFERROR((E191-F191)/E191,"")</f>
        <v/>
      </c>
      <c r="I191" s="6" t="n">
        <v>-454162.8</v>
      </c>
    </row>
    <row r="192">
      <c r="A192" t="inlineStr">
        <is>
          <t>Gresham</t>
        </is>
      </c>
      <c r="B192" t="inlineStr">
        <is>
          <t>GRS-ENG</t>
        </is>
      </c>
      <c r="C192" t="inlineStr">
        <is>
          <t>Engineering</t>
        </is>
      </c>
      <c r="D192" s="7" t="n">
        <v>45474</v>
      </c>
      <c r="E192" s="6" t="n">
        <v>1329389.36</v>
      </c>
      <c r="F192" s="6" t="n">
        <v>1383217.48</v>
      </c>
      <c r="G192" s="6">
        <f>E192-F192</f>
        <v/>
      </c>
      <c r="H192" s="8">
        <f>IFERROR((E192-F192)/E192,"")</f>
        <v/>
      </c>
      <c r="I192" s="6" t="n">
        <v>-507990.92</v>
      </c>
    </row>
    <row r="193">
      <c r="A193" t="inlineStr">
        <is>
          <t>Gresham</t>
        </is>
      </c>
      <c r="B193" t="inlineStr">
        <is>
          <t>GRS-ENG</t>
        </is>
      </c>
      <c r="C193" t="inlineStr">
        <is>
          <t>Engineering</t>
        </is>
      </c>
      <c r="D193" s="7" t="n">
        <v>45505</v>
      </c>
      <c r="E193" s="6" t="n">
        <v>1365018.77</v>
      </c>
      <c r="F193" s="6" t="n">
        <v>1368401.39</v>
      </c>
      <c r="G193" s="6">
        <f>E193-F193</f>
        <v/>
      </c>
      <c r="H193" s="8">
        <f>IFERROR((E193-F193)/E193,"")</f>
        <v/>
      </c>
      <c r="I193" s="6" t="n">
        <v>-511373.54</v>
      </c>
    </row>
    <row r="194">
      <c r="A194" t="inlineStr">
        <is>
          <t>Gresham</t>
        </is>
      </c>
      <c r="B194" t="inlineStr">
        <is>
          <t>GRS-ENG</t>
        </is>
      </c>
      <c r="C194" t="inlineStr">
        <is>
          <t>Engineering</t>
        </is>
      </c>
      <c r="D194" s="7" t="n">
        <v>45536</v>
      </c>
      <c r="E194" s="6" t="n">
        <v>1392881.88</v>
      </c>
      <c r="F194" s="6" t="n">
        <v>1419972.09</v>
      </c>
      <c r="G194" s="6">
        <f>E194-F194</f>
        <v/>
      </c>
      <c r="H194" s="8">
        <f>IFERROR((E194-F194)/E194,"")</f>
        <v/>
      </c>
      <c r="I194" s="6" t="n">
        <v>-538463.75</v>
      </c>
    </row>
    <row r="195">
      <c r="A195" t="inlineStr">
        <is>
          <t>Gresham</t>
        </is>
      </c>
      <c r="B195" t="inlineStr">
        <is>
          <t>GRS-ENG</t>
        </is>
      </c>
      <c r="C195" t="inlineStr">
        <is>
          <t>Engineering</t>
        </is>
      </c>
      <c r="D195" s="7" t="n">
        <v>45566</v>
      </c>
      <c r="E195" s="6" t="n">
        <v>1405872.54</v>
      </c>
      <c r="F195" s="6" t="n">
        <v>1376288.69</v>
      </c>
      <c r="G195" s="6">
        <f>E195-F195</f>
        <v/>
      </c>
      <c r="H195" s="8">
        <f>IFERROR((E195-F195)/E195,"")</f>
        <v/>
      </c>
      <c r="I195" s="6" t="n">
        <v>-508879.9</v>
      </c>
    </row>
    <row r="196">
      <c r="A196" t="inlineStr">
        <is>
          <t>Gresham</t>
        </is>
      </c>
      <c r="B196" t="inlineStr">
        <is>
          <t>GRS-ENG</t>
        </is>
      </c>
      <c r="C196" t="inlineStr">
        <is>
          <t>Engineering</t>
        </is>
      </c>
      <c r="D196" s="7" t="n">
        <v>45597</v>
      </c>
      <c r="E196" s="6" t="n">
        <v>1392099.59</v>
      </c>
      <c r="F196" s="6" t="n">
        <v>1364316.8</v>
      </c>
      <c r="G196" s="6">
        <f>E196-F196</f>
        <v/>
      </c>
      <c r="H196" s="8">
        <f>IFERROR((E196-F196)/E196,"")</f>
        <v/>
      </c>
      <c r="I196" s="6" t="n">
        <v>-481097.11</v>
      </c>
    </row>
    <row r="197">
      <c r="A197" t="inlineStr">
        <is>
          <t>Gresham</t>
        </is>
      </c>
      <c r="B197" t="inlineStr">
        <is>
          <t>GRS-ENG</t>
        </is>
      </c>
      <c r="C197" t="inlineStr">
        <is>
          <t>Engineering</t>
        </is>
      </c>
      <c r="D197" s="7" t="n">
        <v>45627</v>
      </c>
      <c r="E197" s="6" t="n">
        <v>1382706.75</v>
      </c>
      <c r="F197" s="6" t="n">
        <v>1365777.17</v>
      </c>
      <c r="G197" s="6">
        <f>E197-F197</f>
        <v/>
      </c>
      <c r="H197" s="8">
        <f>IFERROR((E197-F197)/E197,"")</f>
        <v/>
      </c>
      <c r="I197" s="6" t="n">
        <v>-464167.53</v>
      </c>
    </row>
    <row r="198">
      <c r="A198" t="inlineStr">
        <is>
          <t>Gresham</t>
        </is>
      </c>
      <c r="B198" t="inlineStr">
        <is>
          <t>GRS-ENG</t>
        </is>
      </c>
      <c r="C198" t="inlineStr">
        <is>
          <t>Engineering</t>
        </is>
      </c>
      <c r="D198" s="7" t="n">
        <v>45658</v>
      </c>
      <c r="E198" s="6" t="n">
        <v>1349529.42</v>
      </c>
      <c r="F198" s="6" t="n">
        <v>1372292.83</v>
      </c>
      <c r="G198" s="6">
        <f>E198-F198</f>
        <v/>
      </c>
      <c r="H198" s="8">
        <f>IFERROR((E198-F198)/E198,"")</f>
        <v/>
      </c>
      <c r="I198" s="6" t="n">
        <v>-22763.41</v>
      </c>
    </row>
    <row r="199">
      <c r="A199" t="inlineStr">
        <is>
          <t>Gresham</t>
        </is>
      </c>
      <c r="B199" t="inlineStr">
        <is>
          <t>GRS-ENG</t>
        </is>
      </c>
      <c r="C199" t="inlineStr">
        <is>
          <t>Engineering</t>
        </is>
      </c>
      <c r="D199" s="7" t="n">
        <v>45689</v>
      </c>
      <c r="E199" s="6" t="n">
        <v>1304596.72</v>
      </c>
      <c r="F199" s="6" t="n">
        <v>1396347.7</v>
      </c>
      <c r="G199" s="6">
        <f>E199-F199</f>
        <v/>
      </c>
      <c r="H199" s="8">
        <f>IFERROR((E199-F199)/E199,"")</f>
        <v/>
      </c>
      <c r="I199" s="6" t="n">
        <v>-114514.39</v>
      </c>
    </row>
    <row r="200">
      <c r="A200" t="inlineStr">
        <is>
          <t>Gresham</t>
        </is>
      </c>
      <c r="B200" t="inlineStr">
        <is>
          <t>GRS-ENG</t>
        </is>
      </c>
      <c r="C200" t="inlineStr">
        <is>
          <t>Engineering</t>
        </is>
      </c>
      <c r="D200" s="7" t="n">
        <v>45717</v>
      </c>
      <c r="E200" s="6" t="n">
        <v>1273799.52</v>
      </c>
      <c r="F200" s="6" t="n">
        <v>1327837.89</v>
      </c>
      <c r="G200" s="6">
        <f>E200-F200</f>
        <v/>
      </c>
      <c r="H200" s="8">
        <f>IFERROR((E200-F200)/E200,"")</f>
        <v/>
      </c>
      <c r="I200" s="6" t="n">
        <v>-168552.76</v>
      </c>
    </row>
    <row r="201">
      <c r="A201" t="inlineStr">
        <is>
          <t>Gresham</t>
        </is>
      </c>
      <c r="B201" t="inlineStr">
        <is>
          <t>GRS-ENG</t>
        </is>
      </c>
      <c r="C201" t="inlineStr">
        <is>
          <t>Engineering</t>
        </is>
      </c>
      <c r="D201" s="7" t="n">
        <v>45748</v>
      </c>
      <c r="E201" s="6" t="n">
        <v>1253069.8</v>
      </c>
      <c r="F201" s="6" t="n">
        <v>1321861.96</v>
      </c>
      <c r="G201" s="6">
        <f>E201-F201</f>
        <v/>
      </c>
      <c r="H201" s="8">
        <f>IFERROR((E201-F201)/E201,"")</f>
        <v/>
      </c>
      <c r="I201" s="6" t="n">
        <v>-237344.92</v>
      </c>
    </row>
    <row r="202">
      <c r="A202" t="inlineStr">
        <is>
          <t>Gresham</t>
        </is>
      </c>
      <c r="B202" t="inlineStr">
        <is>
          <t>GRS-ENG</t>
        </is>
      </c>
      <c r="C202" t="inlineStr">
        <is>
          <t>Engineering</t>
        </is>
      </c>
      <c r="D202" s="7" t="n">
        <v>45778</v>
      </c>
      <c r="E202" s="6" t="n">
        <v>1261751.11</v>
      </c>
      <c r="F202" s="6" t="n">
        <v>1357973.62</v>
      </c>
      <c r="G202" s="6">
        <f>E202-F202</f>
        <v/>
      </c>
      <c r="H202" s="8">
        <f>IFERROR((E202-F202)/E202,"")</f>
        <v/>
      </c>
      <c r="I202" s="6" t="n">
        <v>-333567.43</v>
      </c>
    </row>
    <row r="203">
      <c r="A203" t="inlineStr">
        <is>
          <t>Gresham</t>
        </is>
      </c>
      <c r="B203" t="inlineStr">
        <is>
          <t>GRS-ENG</t>
        </is>
      </c>
      <c r="C203" t="inlineStr">
        <is>
          <t>Engineering</t>
        </is>
      </c>
      <c r="D203" s="7" t="n">
        <v>45809</v>
      </c>
      <c r="E203" s="6" t="n">
        <v>1274406.2</v>
      </c>
      <c r="F203" s="6" t="n">
        <v>1318869.07</v>
      </c>
      <c r="G203" s="6">
        <f>E203-F203</f>
        <v/>
      </c>
      <c r="H203" s="8">
        <f>IFERROR((E203-F203)/E203,"")</f>
        <v/>
      </c>
      <c r="I203" s="6" t="n">
        <v>-378030.3</v>
      </c>
    </row>
    <row r="204">
      <c r="A204" t="inlineStr">
        <is>
          <t>Gresham</t>
        </is>
      </c>
      <c r="B204" t="inlineStr">
        <is>
          <t>GRS-ENG</t>
        </is>
      </c>
      <c r="C204" t="inlineStr">
        <is>
          <t>Engineering</t>
        </is>
      </c>
      <c r="D204" s="7" t="n">
        <v>45839</v>
      </c>
      <c r="E204" s="6" t="n">
        <v>1302683.91</v>
      </c>
      <c r="F204" s="6" t="n">
        <v>1355412.69</v>
      </c>
      <c r="G204" s="6">
        <f>E204-F204</f>
        <v/>
      </c>
      <c r="H204" s="8">
        <f>IFERROR((E204-F204)/E204,"")</f>
        <v/>
      </c>
      <c r="I204" s="6" t="n">
        <v>-430759.08</v>
      </c>
    </row>
    <row r="205">
      <c r="A205" t="inlineStr">
        <is>
          <t>Gresham</t>
        </is>
      </c>
      <c r="B205" t="inlineStr">
        <is>
          <t>GRS-ENG</t>
        </is>
      </c>
      <c r="C205" t="inlineStr">
        <is>
          <t>Engineering</t>
        </is>
      </c>
      <c r="D205" s="7" t="n">
        <v>45870</v>
      </c>
      <c r="E205" s="6" t="n">
        <v>1325289.79</v>
      </c>
      <c r="F205" s="6" t="n">
        <v>1357147.16</v>
      </c>
      <c r="G205" s="6">
        <f>E205-F205</f>
        <v/>
      </c>
      <c r="H205" s="8">
        <f>IFERROR((E205-F205)/E205,"")</f>
        <v/>
      </c>
      <c r="I205" s="6" t="n">
        <v>-462616.45</v>
      </c>
    </row>
    <row r="206">
      <c r="A206" t="inlineStr">
        <is>
          <t>Gresham</t>
        </is>
      </c>
      <c r="B206" t="inlineStr">
        <is>
          <t>GRS-ENG</t>
        </is>
      </c>
      <c r="C206" t="inlineStr">
        <is>
          <t>Engineering</t>
        </is>
      </c>
      <c r="D206" s="7" t="n">
        <v>45901</v>
      </c>
      <c r="E206" s="6" t="n">
        <v>1352196.11</v>
      </c>
      <c r="F206" s="6" t="n">
        <v>1395856.37</v>
      </c>
      <c r="G206" s="6">
        <f>E206-F206</f>
        <v/>
      </c>
      <c r="H206" s="8">
        <f>IFERROR((E206-F206)/E206,"")</f>
        <v/>
      </c>
      <c r="I206" s="6" t="n">
        <v>-506276.71</v>
      </c>
    </row>
    <row r="207">
      <c r="A207" t="inlineStr">
        <is>
          <t>Gresham</t>
        </is>
      </c>
      <c r="B207" t="inlineStr">
        <is>
          <t>GRS-ENG</t>
        </is>
      </c>
      <c r="C207" t="inlineStr">
        <is>
          <t>Engineering</t>
        </is>
      </c>
      <c r="D207" s="7" t="n">
        <v>45931</v>
      </c>
      <c r="E207" s="6" t="n">
        <v>1374678.95</v>
      </c>
      <c r="F207" s="6" t="n">
        <v>1436228.95</v>
      </c>
      <c r="G207" s="6">
        <f>E207-F207</f>
        <v/>
      </c>
      <c r="H207" s="8">
        <f>IFERROR((E207-F207)/E207,"")</f>
        <v/>
      </c>
      <c r="I207" s="6" t="n">
        <v>-567826.71</v>
      </c>
    </row>
    <row r="208">
      <c r="A208" t="inlineStr">
        <is>
          <t>Gresham</t>
        </is>
      </c>
      <c r="B208" t="inlineStr">
        <is>
          <t>GRS-ENG</t>
        </is>
      </c>
      <c r="C208" t="inlineStr">
        <is>
          <t>Engineering</t>
        </is>
      </c>
      <c r="D208" s="7" t="n">
        <v>45962</v>
      </c>
      <c r="E208" s="6" t="n">
        <v>1360821.64</v>
      </c>
      <c r="F208" s="6" t="n">
        <v>1417411.57</v>
      </c>
      <c r="G208" s="6">
        <f>E208-F208</f>
        <v/>
      </c>
      <c r="H208" s="8">
        <f>IFERROR((E208-F208)/E208,"")</f>
        <v/>
      </c>
      <c r="I208" s="6" t="n">
        <v>-624416.64</v>
      </c>
    </row>
    <row r="209">
      <c r="A209" t="inlineStr">
        <is>
          <t>Gresham</t>
        </is>
      </c>
      <c r="B209" t="inlineStr">
        <is>
          <t>GRS-ENG</t>
        </is>
      </c>
      <c r="C209" t="inlineStr">
        <is>
          <t>Engineering</t>
        </is>
      </c>
      <c r="D209" s="7" t="n">
        <v>45992</v>
      </c>
      <c r="E209" s="6" t="n">
        <v>1342755.12</v>
      </c>
      <c r="F209" s="6" t="n">
        <v>1420512.56</v>
      </c>
      <c r="G209" s="6">
        <f>E209-F209</f>
        <v/>
      </c>
      <c r="H209" s="8">
        <f>IFERROR((E209-F209)/E209,"")</f>
        <v/>
      </c>
      <c r="I209" s="6" t="n">
        <v>-702174.08</v>
      </c>
    </row>
    <row r="210">
      <c r="A210" t="inlineStr">
        <is>
          <t>Gresham</t>
        </is>
      </c>
      <c r="B210" t="inlineStr">
        <is>
          <t>GRS-ENG</t>
        </is>
      </c>
      <c r="C210" t="inlineStr">
        <is>
          <t>Engineering</t>
        </is>
      </c>
      <c r="D210" s="7" t="n">
        <v>46023</v>
      </c>
      <c r="E210" s="6" t="n">
        <v>1315682.02</v>
      </c>
      <c r="F210" s="6" t="n">
        <v>1438560.9</v>
      </c>
      <c r="G210" s="6">
        <f>E210-F210</f>
        <v/>
      </c>
      <c r="H210" s="8">
        <f>IFERROR((E210-F210)/E210,"")</f>
        <v/>
      </c>
      <c r="I210" s="6" t="n">
        <v>-122878.88</v>
      </c>
    </row>
    <row r="211">
      <c r="A211" t="inlineStr">
        <is>
          <t>Gresham</t>
        </is>
      </c>
      <c r="B211" t="inlineStr">
        <is>
          <t>GRS-ENG</t>
        </is>
      </c>
      <c r="C211" t="inlineStr">
        <is>
          <t>Engineering</t>
        </is>
      </c>
      <c r="D211" s="7" t="n">
        <v>46054</v>
      </c>
      <c r="E211" s="6" t="n">
        <v>1274605.59</v>
      </c>
      <c r="F211" s="6" t="n">
        <v>1404554.54</v>
      </c>
      <c r="G211" s="6">
        <f>E211-F211</f>
        <v/>
      </c>
      <c r="H211" s="8">
        <f>IFERROR((E211-F211)/E211,"")</f>
        <v/>
      </c>
      <c r="I211" s="6" t="n">
        <v>-252827.83</v>
      </c>
    </row>
    <row r="212">
      <c r="A212" t="inlineStr">
        <is>
          <t>Gresham</t>
        </is>
      </c>
      <c r="B212" t="inlineStr">
        <is>
          <t>GRS-ENG</t>
        </is>
      </c>
      <c r="C212" t="inlineStr">
        <is>
          <t>Engineering</t>
        </is>
      </c>
      <c r="D212" s="7" t="n">
        <v>46082</v>
      </c>
      <c r="E212" s="6" t="n">
        <v>1248979.33</v>
      </c>
      <c r="F212" s="6" t="n">
        <v>1344682.36</v>
      </c>
      <c r="G212" s="6">
        <f>E212-F212</f>
        <v/>
      </c>
      <c r="H212" s="8">
        <f>IFERROR((E212-F212)/E212,"")</f>
        <v/>
      </c>
      <c r="I212" s="6" t="n">
        <v>-348530.86</v>
      </c>
    </row>
    <row r="213">
      <c r="A213" t="inlineStr">
        <is>
          <t>Gresham</t>
        </is>
      </c>
      <c r="B213" t="inlineStr">
        <is>
          <t>GRS-ENG</t>
        </is>
      </c>
      <c r="C213" t="inlineStr">
        <is>
          <t>Engineering</t>
        </is>
      </c>
      <c r="D213" s="7" t="n">
        <v>46113</v>
      </c>
      <c r="E213" s="6" t="n">
        <v>1233984.85</v>
      </c>
      <c r="F213" s="6" t="n">
        <v>1362934.43</v>
      </c>
      <c r="G213" s="6">
        <f>E213-F213</f>
        <v/>
      </c>
      <c r="H213" s="8">
        <f>IFERROR((E213-F213)/E213,"")</f>
        <v/>
      </c>
      <c r="I213" s="6" t="n">
        <v>-477480.44</v>
      </c>
    </row>
    <row r="214">
      <c r="A214" t="inlineStr">
        <is>
          <t>Gresham</t>
        </is>
      </c>
      <c r="B214" t="inlineStr">
        <is>
          <t>GRS-ENG</t>
        </is>
      </c>
      <c r="C214" t="inlineStr">
        <is>
          <t>Engineering</t>
        </is>
      </c>
      <c r="D214" s="7" t="n">
        <v>46143</v>
      </c>
      <c r="E214" s="6" t="n">
        <v>1220679.6</v>
      </c>
      <c r="F214" s="6" t="n">
        <v>1329343.13</v>
      </c>
      <c r="G214" s="6">
        <f>E214-F214</f>
        <v/>
      </c>
      <c r="H214" s="8">
        <f>IFERROR((E214-F214)/E214,"")</f>
        <v/>
      </c>
      <c r="I214" s="6" t="n">
        <v>-586143.97</v>
      </c>
    </row>
    <row r="215">
      <c r="A215" t="inlineStr">
        <is>
          <t>Gresham</t>
        </is>
      </c>
      <c r="B215" t="inlineStr">
        <is>
          <t>GRS-ENG</t>
        </is>
      </c>
      <c r="C215" t="inlineStr">
        <is>
          <t>Engineering</t>
        </is>
      </c>
      <c r="D215" s="7" t="n">
        <v>46174</v>
      </c>
      <c r="E215" s="6" t="n">
        <v>1236477.49</v>
      </c>
      <c r="F215" s="6" t="n">
        <v>1329661.59</v>
      </c>
      <c r="G215" s="6">
        <f>E215-F215</f>
        <v/>
      </c>
      <c r="H215" s="8">
        <f>IFERROR((E215-F215)/E215,"")</f>
        <v/>
      </c>
      <c r="I215" s="6" t="n">
        <v>-679328.0699999999</v>
      </c>
    </row>
    <row r="216">
      <c r="A216" t="inlineStr">
        <is>
          <t>Gresham</t>
        </is>
      </c>
      <c r="B216" t="inlineStr">
        <is>
          <t>GRS-ENG</t>
        </is>
      </c>
      <c r="C216" t="inlineStr">
        <is>
          <t>Engineering</t>
        </is>
      </c>
      <c r="D216" s="7" t="n">
        <v>46204</v>
      </c>
      <c r="E216" s="6" t="n">
        <v>1260788.53</v>
      </c>
      <c r="F216" s="6" t="n">
        <v>1302590.61</v>
      </c>
      <c r="G216" s="6">
        <f>E216-F216</f>
        <v/>
      </c>
      <c r="H216" s="8">
        <f>IFERROR((E216-F216)/E216,"")</f>
        <v/>
      </c>
      <c r="I216" s="6" t="n">
        <v>-721130.15</v>
      </c>
    </row>
    <row r="217">
      <c r="A217" t="inlineStr">
        <is>
          <t>Gresham</t>
        </is>
      </c>
      <c r="B217" t="inlineStr">
        <is>
          <t>GRS-ENG</t>
        </is>
      </c>
      <c r="C217" t="inlineStr">
        <is>
          <t>Engineering</t>
        </is>
      </c>
      <c r="D217" s="7" t="n">
        <v>46235</v>
      </c>
      <c r="E217" s="6" t="n">
        <v>1300843.05</v>
      </c>
      <c r="F217" s="6" t="n">
        <v>1400395.38</v>
      </c>
      <c r="G217" s="6">
        <f>E217-F217</f>
        <v/>
      </c>
      <c r="H217" s="8">
        <f>IFERROR((E217-F217)/E217,"")</f>
        <v/>
      </c>
      <c r="I217" s="6" t="n">
        <v>-820682.48</v>
      </c>
    </row>
    <row r="218">
      <c r="A218" t="inlineStr">
        <is>
          <t>Roseville</t>
        </is>
      </c>
      <c r="B218" t="inlineStr">
        <is>
          <t>RSV-FAB</t>
        </is>
      </c>
      <c r="C218" t="inlineStr">
        <is>
          <t>Fab Operations</t>
        </is>
      </c>
      <c r="D218" s="7" t="n">
        <v>45170</v>
      </c>
      <c r="E218" s="6" t="n">
        <v>2873615.15</v>
      </c>
      <c r="F218" s="6" t="n">
        <v>3008859.58</v>
      </c>
      <c r="G218" s="6">
        <f>E218-F218</f>
        <v/>
      </c>
      <c r="H218" s="8">
        <f>IFERROR((E218-F218)/E218,"")</f>
        <v/>
      </c>
      <c r="I218" s="6" t="n">
        <v>-135244.43</v>
      </c>
    </row>
    <row r="219">
      <c r="A219" t="inlineStr">
        <is>
          <t>Roseville</t>
        </is>
      </c>
      <c r="B219" t="inlineStr">
        <is>
          <t>RSV-FAB</t>
        </is>
      </c>
      <c r="C219" t="inlineStr">
        <is>
          <t>Fab Operations</t>
        </is>
      </c>
      <c r="D219" s="7" t="n">
        <v>45200</v>
      </c>
      <c r="E219" s="6" t="n">
        <v>2926364.54</v>
      </c>
      <c r="F219" s="6" t="n">
        <v>2975885.56</v>
      </c>
      <c r="G219" s="6">
        <f>E219-F219</f>
        <v/>
      </c>
      <c r="H219" s="8">
        <f>IFERROR((E219-F219)/E219,"")</f>
        <v/>
      </c>
      <c r="I219" s="6" t="n">
        <v>-184765.45</v>
      </c>
    </row>
    <row r="220">
      <c r="A220" t="inlineStr">
        <is>
          <t>Roseville</t>
        </is>
      </c>
      <c r="B220" t="inlineStr">
        <is>
          <t>RSV-FAB</t>
        </is>
      </c>
      <c r="C220" t="inlineStr">
        <is>
          <t>Fab Operations</t>
        </is>
      </c>
      <c r="D220" s="7" t="n">
        <v>45231</v>
      </c>
      <c r="E220" s="6" t="n">
        <v>2911931.38</v>
      </c>
      <c r="F220" s="6" t="n">
        <v>2769991.1</v>
      </c>
      <c r="G220" s="6">
        <f>E220-F220</f>
        <v/>
      </c>
      <c r="H220" s="8">
        <f>IFERROR((E220-F220)/E220,"")</f>
        <v/>
      </c>
      <c r="I220" s="6" t="n">
        <v>-42825.17</v>
      </c>
    </row>
    <row r="221">
      <c r="A221" t="inlineStr">
        <is>
          <t>Roseville</t>
        </is>
      </c>
      <c r="B221" t="inlineStr">
        <is>
          <t>RSV-FAB</t>
        </is>
      </c>
      <c r="C221" t="inlineStr">
        <is>
          <t>Fab Operations</t>
        </is>
      </c>
      <c r="D221" s="7" t="n">
        <v>45261</v>
      </c>
      <c r="E221" s="6" t="n">
        <v>2843190.36</v>
      </c>
      <c r="F221" s="6" t="n">
        <v>2980046.19</v>
      </c>
      <c r="G221" s="6">
        <f>E221-F221</f>
        <v/>
      </c>
      <c r="H221" s="8">
        <f>IFERROR((E221-F221)/E221,"")</f>
        <v/>
      </c>
      <c r="I221" s="6" t="n">
        <v>-179681</v>
      </c>
    </row>
    <row r="222">
      <c r="A222" t="inlineStr">
        <is>
          <t>Roseville</t>
        </is>
      </c>
      <c r="B222" t="inlineStr">
        <is>
          <t>RSV-FAB</t>
        </is>
      </c>
      <c r="C222" t="inlineStr">
        <is>
          <t>Fab Operations</t>
        </is>
      </c>
      <c r="D222" s="7" t="n">
        <v>45292</v>
      </c>
      <c r="E222" s="6" t="n">
        <v>2793891.62</v>
      </c>
      <c r="F222" s="6" t="n">
        <v>2929745.58</v>
      </c>
      <c r="G222" s="6">
        <f>E222-F222</f>
        <v/>
      </c>
      <c r="H222" s="8">
        <f>IFERROR((E222-F222)/E222,"")</f>
        <v/>
      </c>
      <c r="I222" s="6" t="n">
        <v>-135853.96</v>
      </c>
    </row>
    <row r="223">
      <c r="A223" t="inlineStr">
        <is>
          <t>Roseville</t>
        </is>
      </c>
      <c r="B223" t="inlineStr">
        <is>
          <t>RSV-FAB</t>
        </is>
      </c>
      <c r="C223" t="inlineStr">
        <is>
          <t>Fab Operations</t>
        </is>
      </c>
      <c r="D223" s="7" t="n">
        <v>45323</v>
      </c>
      <c r="E223" s="6" t="n">
        <v>2664909.32</v>
      </c>
      <c r="F223" s="6" t="n">
        <v>2634210.66</v>
      </c>
      <c r="G223" s="6">
        <f>E223-F223</f>
        <v/>
      </c>
      <c r="H223" s="8">
        <f>IFERROR((E223-F223)/E223,"")</f>
        <v/>
      </c>
      <c r="I223" s="6" t="n">
        <v>-105155.3</v>
      </c>
    </row>
    <row r="224">
      <c r="A224" t="inlineStr">
        <is>
          <t>Roseville</t>
        </is>
      </c>
      <c r="B224" t="inlineStr">
        <is>
          <t>RSV-FAB</t>
        </is>
      </c>
      <c r="C224" t="inlineStr">
        <is>
          <t>Fab Operations</t>
        </is>
      </c>
      <c r="D224" s="7" t="n">
        <v>45352</v>
      </c>
      <c r="E224" s="6" t="n">
        <v>2658341.46</v>
      </c>
      <c r="F224" s="6" t="n">
        <v>2816404.76</v>
      </c>
      <c r="G224" s="6">
        <f>E224-F224</f>
        <v/>
      </c>
      <c r="H224" s="8">
        <f>IFERROR((E224-F224)/E224,"")</f>
        <v/>
      </c>
      <c r="I224" s="6" t="n">
        <v>-263218.6</v>
      </c>
    </row>
    <row r="225">
      <c r="A225" t="inlineStr">
        <is>
          <t>Roseville</t>
        </is>
      </c>
      <c r="B225" t="inlineStr">
        <is>
          <t>RSV-FAB</t>
        </is>
      </c>
      <c r="C225" t="inlineStr">
        <is>
          <t>Fab Operations</t>
        </is>
      </c>
      <c r="D225" s="7" t="n">
        <v>45383</v>
      </c>
      <c r="E225" s="6" t="n">
        <v>2644454.4</v>
      </c>
      <c r="F225" s="6" t="n">
        <v>2762939.14</v>
      </c>
      <c r="G225" s="6">
        <f>E225-F225</f>
        <v/>
      </c>
      <c r="H225" s="8">
        <f>IFERROR((E225-F225)/E225,"")</f>
        <v/>
      </c>
      <c r="I225" s="6" t="n">
        <v>-381703.34</v>
      </c>
    </row>
    <row r="226">
      <c r="A226" t="inlineStr">
        <is>
          <t>Roseville</t>
        </is>
      </c>
      <c r="B226" t="inlineStr">
        <is>
          <t>RSV-FAB</t>
        </is>
      </c>
      <c r="C226" t="inlineStr">
        <is>
          <t>Fab Operations</t>
        </is>
      </c>
      <c r="D226" s="7" t="n">
        <v>45413</v>
      </c>
      <c r="E226" s="6" t="n">
        <v>2590437.45</v>
      </c>
      <c r="F226" s="6" t="n">
        <v>2617503.57</v>
      </c>
      <c r="G226" s="6">
        <f>E226-F226</f>
        <v/>
      </c>
      <c r="H226" s="8">
        <f>IFERROR((E226-F226)/E226,"")</f>
        <v/>
      </c>
      <c r="I226" s="6" t="n">
        <v>-408769.46</v>
      </c>
    </row>
    <row r="227">
      <c r="A227" t="inlineStr">
        <is>
          <t>Roseville</t>
        </is>
      </c>
      <c r="B227" t="inlineStr">
        <is>
          <t>RSV-FAB</t>
        </is>
      </c>
      <c r="C227" t="inlineStr">
        <is>
          <t>Fab Operations</t>
        </is>
      </c>
      <c r="D227" s="7" t="n">
        <v>45444</v>
      </c>
      <c r="E227" s="6" t="n">
        <v>2634464.55</v>
      </c>
      <c r="F227" s="6" t="n">
        <v>2574684.81</v>
      </c>
      <c r="G227" s="6">
        <f>E227-F227</f>
        <v/>
      </c>
      <c r="H227" s="8">
        <f>IFERROR((E227-F227)/E227,"")</f>
        <v/>
      </c>
      <c r="I227" s="6" t="n">
        <v>-348989.72</v>
      </c>
    </row>
    <row r="228">
      <c r="A228" t="inlineStr">
        <is>
          <t>Roseville</t>
        </is>
      </c>
      <c r="B228" t="inlineStr">
        <is>
          <t>RSV-FAB</t>
        </is>
      </c>
      <c r="C228" t="inlineStr">
        <is>
          <t>Fab Operations</t>
        </is>
      </c>
      <c r="D228" s="7" t="n">
        <v>45474</v>
      </c>
      <c r="E228" s="6" t="n">
        <v>2722915.08</v>
      </c>
      <c r="F228" s="6" t="n">
        <v>2764160.56</v>
      </c>
      <c r="G228" s="6">
        <f>E228-F228</f>
        <v/>
      </c>
      <c r="H228" s="8">
        <f>IFERROR((E228-F228)/E228,"")</f>
        <v/>
      </c>
      <c r="I228" s="6" t="n">
        <v>-390235.2</v>
      </c>
    </row>
    <row r="229">
      <c r="A229" t="inlineStr">
        <is>
          <t>Roseville</t>
        </is>
      </c>
      <c r="B229" t="inlineStr">
        <is>
          <t>RSV-FAB</t>
        </is>
      </c>
      <c r="C229" t="inlineStr">
        <is>
          <t>Fab Operations</t>
        </is>
      </c>
      <c r="D229" s="7" t="n">
        <v>45505</v>
      </c>
      <c r="E229" s="6" t="n">
        <v>2736076.68</v>
      </c>
      <c r="F229" s="6" t="n">
        <v>2842015.61</v>
      </c>
      <c r="G229" s="6">
        <f>E229-F229</f>
        <v/>
      </c>
      <c r="H229" s="8">
        <f>IFERROR((E229-F229)/E229,"")</f>
        <v/>
      </c>
      <c r="I229" s="6" t="n">
        <v>-496174.13</v>
      </c>
    </row>
    <row r="230">
      <c r="A230" t="inlineStr">
        <is>
          <t>Roseville</t>
        </is>
      </c>
      <c r="B230" t="inlineStr">
        <is>
          <t>RSV-FAB</t>
        </is>
      </c>
      <c r="C230" t="inlineStr">
        <is>
          <t>Fab Operations</t>
        </is>
      </c>
      <c r="D230" s="7" t="n">
        <v>45536</v>
      </c>
      <c r="E230" s="6" t="n">
        <v>2822778.23</v>
      </c>
      <c r="F230" s="6" t="n">
        <v>2776516.44</v>
      </c>
      <c r="G230" s="6">
        <f>E230-F230</f>
        <v/>
      </c>
      <c r="H230" s="8">
        <f>IFERROR((E230-F230)/E230,"")</f>
        <v/>
      </c>
      <c r="I230" s="6" t="n">
        <v>-449912.34</v>
      </c>
    </row>
    <row r="231">
      <c r="A231" t="inlineStr">
        <is>
          <t>Roseville</t>
        </is>
      </c>
      <c r="B231" t="inlineStr">
        <is>
          <t>RSV-FAB</t>
        </is>
      </c>
      <c r="C231" t="inlineStr">
        <is>
          <t>Fab Operations</t>
        </is>
      </c>
      <c r="D231" s="7" t="n">
        <v>45566</v>
      </c>
      <c r="E231" s="6" t="n">
        <v>2816252.48</v>
      </c>
      <c r="F231" s="6" t="n">
        <v>3002152.69</v>
      </c>
      <c r="G231" s="6">
        <f>E231-F231</f>
        <v/>
      </c>
      <c r="H231" s="8">
        <f>IFERROR((E231-F231)/E231,"")</f>
        <v/>
      </c>
      <c r="I231" s="6" t="n">
        <v>-635812.55</v>
      </c>
    </row>
    <row r="232">
      <c r="A232" t="inlineStr">
        <is>
          <t>Roseville</t>
        </is>
      </c>
      <c r="B232" t="inlineStr">
        <is>
          <t>RSV-FAB</t>
        </is>
      </c>
      <c r="C232" t="inlineStr">
        <is>
          <t>Fab Operations</t>
        </is>
      </c>
      <c r="D232" s="7" t="n">
        <v>45597</v>
      </c>
      <c r="E232" s="6" t="n">
        <v>2842266.89</v>
      </c>
      <c r="F232" s="6" t="n">
        <v>2923366.37</v>
      </c>
      <c r="G232" s="6">
        <f>E232-F232</f>
        <v/>
      </c>
      <c r="H232" s="8">
        <f>IFERROR((E232-F232)/E232,"")</f>
        <v/>
      </c>
      <c r="I232" s="6" t="n">
        <v>-716912.03</v>
      </c>
    </row>
    <row r="233">
      <c r="A233" t="inlineStr">
        <is>
          <t>Roseville</t>
        </is>
      </c>
      <c r="B233" t="inlineStr">
        <is>
          <t>RSV-FAB</t>
        </is>
      </c>
      <c r="C233" t="inlineStr">
        <is>
          <t>Fab Operations</t>
        </is>
      </c>
      <c r="D233" s="7" t="n">
        <v>45627</v>
      </c>
      <c r="E233" s="6" t="n">
        <v>2731412.74</v>
      </c>
      <c r="F233" s="6" t="n">
        <v>2666984.88</v>
      </c>
      <c r="G233" s="6">
        <f>E233-F233</f>
        <v/>
      </c>
      <c r="H233" s="8">
        <f>IFERROR((E233-F233)/E233,"")</f>
        <v/>
      </c>
      <c r="I233" s="6" t="n">
        <v>-652484.17</v>
      </c>
    </row>
    <row r="234">
      <c r="A234" t="inlineStr">
        <is>
          <t>Roseville</t>
        </is>
      </c>
      <c r="B234" t="inlineStr">
        <is>
          <t>RSV-FAB</t>
        </is>
      </c>
      <c r="C234" t="inlineStr">
        <is>
          <t>Fab Operations</t>
        </is>
      </c>
      <c r="D234" s="7" t="n">
        <v>45658</v>
      </c>
      <c r="E234" s="6" t="n">
        <v>2673974.96</v>
      </c>
      <c r="F234" s="6" t="n">
        <v>2758758.59</v>
      </c>
      <c r="G234" s="6">
        <f>E234-F234</f>
        <v/>
      </c>
      <c r="H234" s="8">
        <f>IFERROR((E234-F234)/E234,"")</f>
        <v/>
      </c>
      <c r="I234" s="6" t="n">
        <v>-84783.63</v>
      </c>
    </row>
    <row r="235">
      <c r="A235" t="inlineStr">
        <is>
          <t>Roseville</t>
        </is>
      </c>
      <c r="B235" t="inlineStr">
        <is>
          <t>RSV-FAB</t>
        </is>
      </c>
      <c r="C235" t="inlineStr">
        <is>
          <t>Fab Operations</t>
        </is>
      </c>
      <c r="D235" s="7" t="n">
        <v>45689</v>
      </c>
      <c r="E235" s="6" t="n">
        <v>2587947.65</v>
      </c>
      <c r="F235" s="6" t="n">
        <v>2720471.16</v>
      </c>
      <c r="G235" s="6">
        <f>E235-F235</f>
        <v/>
      </c>
      <c r="H235" s="8">
        <f>IFERROR((E235-F235)/E235,"")</f>
        <v/>
      </c>
      <c r="I235" s="6" t="n">
        <v>-217307.14</v>
      </c>
    </row>
    <row r="236">
      <c r="A236" t="inlineStr">
        <is>
          <t>Roseville</t>
        </is>
      </c>
      <c r="B236" t="inlineStr">
        <is>
          <t>RSV-FAB</t>
        </is>
      </c>
      <c r="C236" t="inlineStr">
        <is>
          <t>Fab Operations</t>
        </is>
      </c>
      <c r="D236" s="7" t="n">
        <v>45717</v>
      </c>
      <c r="E236" s="6" t="n">
        <v>2594298.07</v>
      </c>
      <c r="F236" s="6" t="n">
        <v>2607661.25</v>
      </c>
      <c r="G236" s="6">
        <f>E236-F236</f>
        <v/>
      </c>
      <c r="H236" s="8">
        <f>IFERROR((E236-F236)/E236,"")</f>
        <v/>
      </c>
      <c r="I236" s="6" t="n">
        <v>-230670.32</v>
      </c>
    </row>
    <row r="237">
      <c r="A237" t="inlineStr">
        <is>
          <t>Roseville</t>
        </is>
      </c>
      <c r="B237" t="inlineStr">
        <is>
          <t>RSV-FAB</t>
        </is>
      </c>
      <c r="C237" t="inlineStr">
        <is>
          <t>Fab Operations</t>
        </is>
      </c>
      <c r="D237" s="7" t="n">
        <v>45748</v>
      </c>
      <c r="E237" s="6" t="n">
        <v>2560242.68</v>
      </c>
      <c r="F237" s="6" t="n">
        <v>2730516.83</v>
      </c>
      <c r="G237" s="6">
        <f>E237-F237</f>
        <v/>
      </c>
      <c r="H237" s="8">
        <f>IFERROR((E237-F237)/E237,"")</f>
        <v/>
      </c>
      <c r="I237" s="6" t="n">
        <v>-400944.47</v>
      </c>
    </row>
    <row r="238">
      <c r="A238" t="inlineStr">
        <is>
          <t>Roseville</t>
        </is>
      </c>
      <c r="B238" t="inlineStr">
        <is>
          <t>RSV-FAB</t>
        </is>
      </c>
      <c r="C238" t="inlineStr">
        <is>
          <t>Fab Operations</t>
        </is>
      </c>
      <c r="D238" s="7" t="n">
        <v>45778</v>
      </c>
      <c r="E238" s="6" t="n">
        <v>2592818.76</v>
      </c>
      <c r="F238" s="6" t="n">
        <v>2649130.39</v>
      </c>
      <c r="G238" s="6">
        <f>E238-F238</f>
        <v/>
      </c>
      <c r="H238" s="8">
        <f>IFERROR((E238-F238)/E238,"")</f>
        <v/>
      </c>
      <c r="I238" s="6" t="n">
        <v>-457256.1</v>
      </c>
    </row>
    <row r="239">
      <c r="A239" t="inlineStr">
        <is>
          <t>Roseville</t>
        </is>
      </c>
      <c r="B239" t="inlineStr">
        <is>
          <t>RSV-FAB</t>
        </is>
      </c>
      <c r="C239" t="inlineStr">
        <is>
          <t>Fab Operations</t>
        </is>
      </c>
      <c r="D239" s="7" t="n">
        <v>45809</v>
      </c>
      <c r="E239" s="6" t="n">
        <v>2631873.91</v>
      </c>
      <c r="F239" s="6" t="n">
        <v>2604200.09</v>
      </c>
      <c r="G239" s="6">
        <f>E239-F239</f>
        <v/>
      </c>
      <c r="H239" s="8">
        <f>IFERROR((E239-F239)/E239,"")</f>
        <v/>
      </c>
      <c r="I239" s="6" t="n">
        <v>-429582.28</v>
      </c>
    </row>
    <row r="240">
      <c r="A240" t="inlineStr">
        <is>
          <t>Roseville</t>
        </is>
      </c>
      <c r="B240" t="inlineStr">
        <is>
          <t>RSV-FAB</t>
        </is>
      </c>
      <c r="C240" t="inlineStr">
        <is>
          <t>Fab Operations</t>
        </is>
      </c>
      <c r="D240" s="7" t="n">
        <v>45839</v>
      </c>
      <c r="E240" s="6" t="n">
        <v>2652991.07</v>
      </c>
      <c r="F240" s="6" t="n">
        <v>2825608.72</v>
      </c>
      <c r="G240" s="6">
        <f>E240-F240</f>
        <v/>
      </c>
      <c r="H240" s="8">
        <f>IFERROR((E240-F240)/E240,"")</f>
        <v/>
      </c>
      <c r="I240" s="6" t="n">
        <v>-602199.9300000001</v>
      </c>
    </row>
    <row r="241">
      <c r="A241" t="inlineStr">
        <is>
          <t>Roseville</t>
        </is>
      </c>
      <c r="B241" t="inlineStr">
        <is>
          <t>RSV-FAB</t>
        </is>
      </c>
      <c r="C241" t="inlineStr">
        <is>
          <t>Fab Operations</t>
        </is>
      </c>
      <c r="D241" s="7" t="n">
        <v>45870</v>
      </c>
      <c r="E241" s="6" t="n">
        <v>2740664.82</v>
      </c>
      <c r="F241" s="6" t="n">
        <v>2884187.11</v>
      </c>
      <c r="G241" s="6">
        <f>E241-F241</f>
        <v/>
      </c>
      <c r="H241" s="8">
        <f>IFERROR((E241-F241)/E241,"")</f>
        <v/>
      </c>
      <c r="I241" s="6" t="n">
        <v>-745722.22</v>
      </c>
    </row>
    <row r="242">
      <c r="A242" t="inlineStr">
        <is>
          <t>Roseville</t>
        </is>
      </c>
      <c r="B242" t="inlineStr">
        <is>
          <t>RSV-FAB</t>
        </is>
      </c>
      <c r="C242" t="inlineStr">
        <is>
          <t>Fab Operations</t>
        </is>
      </c>
      <c r="D242" s="7" t="n">
        <v>45901</v>
      </c>
      <c r="E242" s="6" t="n">
        <v>2814885.62</v>
      </c>
      <c r="F242" s="6" t="n">
        <v>2925909.15</v>
      </c>
      <c r="G242" s="6">
        <f>E242-F242</f>
        <v/>
      </c>
      <c r="H242" s="8">
        <f>IFERROR((E242-F242)/E242,"")</f>
        <v/>
      </c>
      <c r="I242" s="6" t="n">
        <v>-856745.75</v>
      </c>
    </row>
    <row r="243">
      <c r="A243" t="inlineStr">
        <is>
          <t>Roseville</t>
        </is>
      </c>
      <c r="B243" t="inlineStr">
        <is>
          <t>RSV-FAB</t>
        </is>
      </c>
      <c r="C243" t="inlineStr">
        <is>
          <t>Fab Operations</t>
        </is>
      </c>
      <c r="D243" s="7" t="n">
        <v>45931</v>
      </c>
      <c r="E243" s="6" t="n">
        <v>2750683.13</v>
      </c>
      <c r="F243" s="6" t="n">
        <v>2679647.76</v>
      </c>
      <c r="G243" s="6">
        <f>E243-F243</f>
        <v/>
      </c>
      <c r="H243" s="8">
        <f>IFERROR((E243-F243)/E243,"")</f>
        <v/>
      </c>
      <c r="I243" s="6" t="n">
        <v>-785710.38</v>
      </c>
    </row>
    <row r="244">
      <c r="A244" t="inlineStr">
        <is>
          <t>Roseville</t>
        </is>
      </c>
      <c r="B244" t="inlineStr">
        <is>
          <t>RSV-FAB</t>
        </is>
      </c>
      <c r="C244" t="inlineStr">
        <is>
          <t>Fab Operations</t>
        </is>
      </c>
      <c r="D244" s="7" t="n">
        <v>45962</v>
      </c>
      <c r="E244" s="6" t="n">
        <v>2827013.78</v>
      </c>
      <c r="F244" s="6" t="n">
        <v>2928488.88</v>
      </c>
      <c r="G244" s="6">
        <f>E244-F244</f>
        <v/>
      </c>
      <c r="H244" s="8">
        <f>IFERROR((E244-F244)/E244,"")</f>
        <v/>
      </c>
      <c r="I244" s="6" t="n">
        <v>-887185.48</v>
      </c>
    </row>
    <row r="245">
      <c r="A245" t="inlineStr">
        <is>
          <t>Roseville</t>
        </is>
      </c>
      <c r="B245" t="inlineStr">
        <is>
          <t>RSV-FAB</t>
        </is>
      </c>
      <c r="C245" t="inlineStr">
        <is>
          <t>Fab Operations</t>
        </is>
      </c>
      <c r="D245" s="7" t="n">
        <v>45992</v>
      </c>
      <c r="E245" s="6" t="n">
        <v>2676418.78</v>
      </c>
      <c r="F245" s="6" t="n">
        <v>2814056.14</v>
      </c>
      <c r="G245" s="6">
        <f>E245-F245</f>
        <v/>
      </c>
      <c r="H245" s="8">
        <f>IFERROR((E245-F245)/E245,"")</f>
        <v/>
      </c>
      <c r="I245" s="6" t="n">
        <v>-1024822.84</v>
      </c>
    </row>
    <row r="246">
      <c r="A246" t="inlineStr">
        <is>
          <t>Roseville</t>
        </is>
      </c>
      <c r="B246" t="inlineStr">
        <is>
          <t>RSV-FAB</t>
        </is>
      </c>
      <c r="C246" t="inlineStr">
        <is>
          <t>Fab Operations</t>
        </is>
      </c>
      <c r="D246" s="7" t="n">
        <v>46023</v>
      </c>
      <c r="E246" s="6" t="n">
        <v>2693012.91</v>
      </c>
      <c r="F246" s="6" t="n">
        <v>2851148.66</v>
      </c>
      <c r="G246" s="6">
        <f>E246-F246</f>
        <v/>
      </c>
      <c r="H246" s="8">
        <f>IFERROR((E246-F246)/E246,"")</f>
        <v/>
      </c>
      <c r="I246" s="6" t="n">
        <v>-158135.75</v>
      </c>
    </row>
    <row r="247">
      <c r="A247" t="inlineStr">
        <is>
          <t>Roseville</t>
        </is>
      </c>
      <c r="B247" t="inlineStr">
        <is>
          <t>RSV-FAB</t>
        </is>
      </c>
      <c r="C247" t="inlineStr">
        <is>
          <t>Fab Operations</t>
        </is>
      </c>
      <c r="D247" s="7" t="n">
        <v>46054</v>
      </c>
      <c r="E247" s="6" t="n">
        <v>2559158.2</v>
      </c>
      <c r="F247" s="6" t="n">
        <v>2522365.11</v>
      </c>
      <c r="G247" s="6">
        <f>E247-F247</f>
        <v/>
      </c>
      <c r="H247" s="8">
        <f>IFERROR((E247-F247)/E247,"")</f>
        <v/>
      </c>
      <c r="I247" s="6" t="n">
        <v>-121342.66</v>
      </c>
    </row>
    <row r="248">
      <c r="A248" t="inlineStr">
        <is>
          <t>Roseville</t>
        </is>
      </c>
      <c r="B248" t="inlineStr">
        <is>
          <t>RSV-FAB</t>
        </is>
      </c>
      <c r="C248" t="inlineStr">
        <is>
          <t>Fab Operations</t>
        </is>
      </c>
      <c r="D248" s="7" t="n">
        <v>46082</v>
      </c>
      <c r="E248" s="6" t="n">
        <v>2516257.06</v>
      </c>
      <c r="F248" s="6" t="n">
        <v>2527719.66</v>
      </c>
      <c r="G248" s="6">
        <f>E248-F248</f>
        <v/>
      </c>
      <c r="H248" s="8">
        <f>IFERROR((E248-F248)/E248,"")</f>
        <v/>
      </c>
      <c r="I248" s="6" t="n">
        <v>-132805.26</v>
      </c>
    </row>
    <row r="249">
      <c r="A249" t="inlineStr">
        <is>
          <t>Roseville</t>
        </is>
      </c>
      <c r="B249" t="inlineStr">
        <is>
          <t>RSV-FAB</t>
        </is>
      </c>
      <c r="C249" t="inlineStr">
        <is>
          <t>Fab Operations</t>
        </is>
      </c>
      <c r="D249" s="7" t="n">
        <v>46113</v>
      </c>
      <c r="E249" s="6" t="n">
        <v>2508463.67</v>
      </c>
      <c r="F249" s="6" t="n">
        <v>2607549.44</v>
      </c>
      <c r="G249" s="6">
        <f>E249-F249</f>
        <v/>
      </c>
      <c r="H249" s="8">
        <f>IFERROR((E249-F249)/E249,"")</f>
        <v/>
      </c>
      <c r="I249" s="6" t="n">
        <v>-231891.03</v>
      </c>
    </row>
    <row r="250">
      <c r="A250" t="inlineStr">
        <is>
          <t>Roseville</t>
        </is>
      </c>
      <c r="B250" t="inlineStr">
        <is>
          <t>RSV-FAB</t>
        </is>
      </c>
      <c r="C250" t="inlineStr">
        <is>
          <t>Fab Operations</t>
        </is>
      </c>
      <c r="D250" s="7" t="n">
        <v>46143</v>
      </c>
      <c r="E250" s="6" t="n">
        <v>2502002.38</v>
      </c>
      <c r="F250" s="6" t="n">
        <v>2575551.47</v>
      </c>
      <c r="G250" s="6">
        <f>E250-F250</f>
        <v/>
      </c>
      <c r="H250" s="8">
        <f>IFERROR((E250-F250)/E250,"")</f>
        <v/>
      </c>
      <c r="I250" s="6" t="n">
        <v>-305440.12</v>
      </c>
    </row>
    <row r="251">
      <c r="A251" t="inlineStr">
        <is>
          <t>Roseville</t>
        </is>
      </c>
      <c r="B251" t="inlineStr">
        <is>
          <t>RSV-FAB</t>
        </is>
      </c>
      <c r="C251" t="inlineStr">
        <is>
          <t>Fab Operations</t>
        </is>
      </c>
      <c r="D251" s="7" t="n">
        <v>46174</v>
      </c>
      <c r="E251" s="6" t="n">
        <v>2545415.05</v>
      </c>
      <c r="F251" s="6" t="n">
        <v>2596662.49</v>
      </c>
      <c r="G251" s="6">
        <f>E251-F251</f>
        <v/>
      </c>
      <c r="H251" s="8">
        <f>IFERROR((E251-F251)/E251,"")</f>
        <v/>
      </c>
      <c r="I251" s="6" t="n">
        <v>-356687.56</v>
      </c>
    </row>
    <row r="252">
      <c r="A252" t="inlineStr">
        <is>
          <t>Roseville</t>
        </is>
      </c>
      <c r="B252" t="inlineStr">
        <is>
          <t>RSV-FAB</t>
        </is>
      </c>
      <c r="C252" t="inlineStr">
        <is>
          <t>Fab Operations</t>
        </is>
      </c>
      <c r="D252" s="7" t="n">
        <v>46204</v>
      </c>
      <c r="E252" s="6" t="n">
        <v>2592016.49</v>
      </c>
      <c r="F252" s="6" t="n">
        <v>2697872.46</v>
      </c>
      <c r="G252" s="6">
        <f>E252-F252</f>
        <v/>
      </c>
      <c r="H252" s="8">
        <f>IFERROR((E252-F252)/E252,"")</f>
        <v/>
      </c>
      <c r="I252" s="6" t="n">
        <v>-462543.53</v>
      </c>
    </row>
    <row r="253">
      <c r="A253" t="inlineStr">
        <is>
          <t>Roseville</t>
        </is>
      </c>
      <c r="B253" t="inlineStr">
        <is>
          <t>RSV-FAB</t>
        </is>
      </c>
      <c r="C253" t="inlineStr">
        <is>
          <t>Fab Operations</t>
        </is>
      </c>
      <c r="D253" s="7" t="n">
        <v>46235</v>
      </c>
      <c r="E253" s="6" t="n">
        <v>2733500.85</v>
      </c>
      <c r="F253" s="6" t="n">
        <v>2638319.15</v>
      </c>
      <c r="G253" s="6">
        <f>E253-F253</f>
        <v/>
      </c>
      <c r="H253" s="8">
        <f>IFERROR((E253-F253)/E253,"")</f>
        <v/>
      </c>
      <c r="I253" s="6" t="n">
        <v>-367361.83</v>
      </c>
    </row>
    <row r="254">
      <c r="A254" t="inlineStr">
        <is>
          <t>Roseville</t>
        </is>
      </c>
      <c r="B254" t="inlineStr">
        <is>
          <t>RSV-TNA</t>
        </is>
      </c>
      <c r="C254" t="inlineStr">
        <is>
          <t>Test &amp; Assembly</t>
        </is>
      </c>
      <c r="D254" s="7" t="n">
        <v>45170</v>
      </c>
      <c r="E254" s="6" t="n">
        <v>1496263.81</v>
      </c>
      <c r="F254" s="6" t="n">
        <v>1457111.75</v>
      </c>
      <c r="G254" s="6">
        <f>E254-F254</f>
        <v/>
      </c>
      <c r="H254" s="8">
        <f>IFERROR((E254-F254)/E254,"")</f>
        <v/>
      </c>
      <c r="I254" s="6" t="n">
        <v>39152.06</v>
      </c>
    </row>
    <row r="255">
      <c r="A255" t="inlineStr">
        <is>
          <t>Roseville</t>
        </is>
      </c>
      <c r="B255" t="inlineStr">
        <is>
          <t>RSV-TNA</t>
        </is>
      </c>
      <c r="C255" t="inlineStr">
        <is>
          <t>Test &amp; Assembly</t>
        </is>
      </c>
      <c r="D255" s="7" t="n">
        <v>45200</v>
      </c>
      <c r="E255" s="6" t="n">
        <v>1540804.84</v>
      </c>
      <c r="F255" s="6" t="n">
        <v>1493274.96</v>
      </c>
      <c r="G255" s="6">
        <f>E255-F255</f>
        <v/>
      </c>
      <c r="H255" s="8">
        <f>IFERROR((E255-F255)/E255,"")</f>
        <v/>
      </c>
      <c r="I255" s="6" t="n">
        <v>86681.94</v>
      </c>
    </row>
    <row r="256">
      <c r="A256" t="inlineStr">
        <is>
          <t>Roseville</t>
        </is>
      </c>
      <c r="B256" t="inlineStr">
        <is>
          <t>RSV-TNA</t>
        </is>
      </c>
      <c r="C256" t="inlineStr">
        <is>
          <t>Test &amp; Assembly</t>
        </is>
      </c>
      <c r="D256" s="7" t="n">
        <v>45231</v>
      </c>
      <c r="E256" s="6" t="n">
        <v>1489899.57</v>
      </c>
      <c r="F256" s="6" t="n">
        <v>1504685.18</v>
      </c>
      <c r="G256" s="6">
        <f>E256-F256</f>
        <v/>
      </c>
      <c r="H256" s="8">
        <f>IFERROR((E256-F256)/E256,"")</f>
        <v/>
      </c>
      <c r="I256" s="6" t="n">
        <v>71896.33</v>
      </c>
    </row>
    <row r="257">
      <c r="A257" t="inlineStr">
        <is>
          <t>Roseville</t>
        </is>
      </c>
      <c r="B257" t="inlineStr">
        <is>
          <t>RSV-TNA</t>
        </is>
      </c>
      <c r="C257" t="inlineStr">
        <is>
          <t>Test &amp; Assembly</t>
        </is>
      </c>
      <c r="D257" s="7" t="n">
        <v>45261</v>
      </c>
      <c r="E257" s="6" t="n">
        <v>1478157.16</v>
      </c>
      <c r="F257" s="6" t="n">
        <v>1401061.54</v>
      </c>
      <c r="G257" s="6">
        <f>E257-F257</f>
        <v/>
      </c>
      <c r="H257" s="8">
        <f>IFERROR((E257-F257)/E257,"")</f>
        <v/>
      </c>
      <c r="I257" s="6" t="n">
        <v>148991.95</v>
      </c>
    </row>
    <row r="258">
      <c r="A258" t="inlineStr">
        <is>
          <t>Roseville</t>
        </is>
      </c>
      <c r="B258" t="inlineStr">
        <is>
          <t>RSV-TNA</t>
        </is>
      </c>
      <c r="C258" t="inlineStr">
        <is>
          <t>Test &amp; Assembly</t>
        </is>
      </c>
      <c r="D258" s="7" t="n">
        <v>45292</v>
      </c>
      <c r="E258" s="6" t="n">
        <v>1461462.56</v>
      </c>
      <c r="F258" s="6" t="n">
        <v>1434827.84</v>
      </c>
      <c r="G258" s="6">
        <f>E258-F258</f>
        <v/>
      </c>
      <c r="H258" s="8">
        <f>IFERROR((E258-F258)/E258,"")</f>
        <v/>
      </c>
      <c r="I258" s="6" t="n">
        <v>26634.72</v>
      </c>
    </row>
    <row r="259">
      <c r="A259" t="inlineStr">
        <is>
          <t>Roseville</t>
        </is>
      </c>
      <c r="B259" t="inlineStr">
        <is>
          <t>RSV-TNA</t>
        </is>
      </c>
      <c r="C259" t="inlineStr">
        <is>
          <t>Test &amp; Assembly</t>
        </is>
      </c>
      <c r="D259" s="7" t="n">
        <v>45323</v>
      </c>
      <c r="E259" s="6" t="n">
        <v>1410199.19</v>
      </c>
      <c r="F259" s="6" t="n">
        <v>1375173.83</v>
      </c>
      <c r="G259" s="6">
        <f>E259-F259</f>
        <v/>
      </c>
      <c r="H259" s="8">
        <f>IFERROR((E259-F259)/E259,"")</f>
        <v/>
      </c>
      <c r="I259" s="6" t="n">
        <v>61660.08</v>
      </c>
    </row>
    <row r="260">
      <c r="A260" t="inlineStr">
        <is>
          <t>Roseville</t>
        </is>
      </c>
      <c r="B260" t="inlineStr">
        <is>
          <t>RSV-TNA</t>
        </is>
      </c>
      <c r="C260" t="inlineStr">
        <is>
          <t>Test &amp; Assembly</t>
        </is>
      </c>
      <c r="D260" s="7" t="n">
        <v>45352</v>
      </c>
      <c r="E260" s="6" t="n">
        <v>1374264.96</v>
      </c>
      <c r="F260" s="6" t="n">
        <v>1370079.02</v>
      </c>
      <c r="G260" s="6">
        <f>E260-F260</f>
        <v/>
      </c>
      <c r="H260" s="8">
        <f>IFERROR((E260-F260)/E260,"")</f>
        <v/>
      </c>
      <c r="I260" s="6" t="n">
        <v>65846.02</v>
      </c>
    </row>
    <row r="261">
      <c r="A261" t="inlineStr">
        <is>
          <t>Roseville</t>
        </is>
      </c>
      <c r="B261" t="inlineStr">
        <is>
          <t>RSV-TNA</t>
        </is>
      </c>
      <c r="C261" t="inlineStr">
        <is>
          <t>Test &amp; Assembly</t>
        </is>
      </c>
      <c r="D261" s="7" t="n">
        <v>45383</v>
      </c>
      <c r="E261" s="6" t="n">
        <v>1356532.68</v>
      </c>
      <c r="F261" s="6" t="n">
        <v>1333691.19</v>
      </c>
      <c r="G261" s="6">
        <f>E261-F261</f>
        <v/>
      </c>
      <c r="H261" s="8">
        <f>IFERROR((E261-F261)/E261,"")</f>
        <v/>
      </c>
      <c r="I261" s="6" t="n">
        <v>88687.50999999999</v>
      </c>
    </row>
    <row r="262">
      <c r="A262" t="inlineStr">
        <is>
          <t>Roseville</t>
        </is>
      </c>
      <c r="B262" t="inlineStr">
        <is>
          <t>RSV-TNA</t>
        </is>
      </c>
      <c r="C262" t="inlineStr">
        <is>
          <t>Test &amp; Assembly</t>
        </is>
      </c>
      <c r="D262" s="7" t="n">
        <v>45413</v>
      </c>
      <c r="E262" s="6" t="n">
        <v>1386354.37</v>
      </c>
      <c r="F262" s="6" t="n">
        <v>1347329.27</v>
      </c>
      <c r="G262" s="6">
        <f>E262-F262</f>
        <v/>
      </c>
      <c r="H262" s="8">
        <f>IFERROR((E262-F262)/E262,"")</f>
        <v/>
      </c>
      <c r="I262" s="6" t="n">
        <v>127712.61</v>
      </c>
    </row>
    <row r="263">
      <c r="A263" t="inlineStr">
        <is>
          <t>Roseville</t>
        </is>
      </c>
      <c r="B263" t="inlineStr">
        <is>
          <t>RSV-TNA</t>
        </is>
      </c>
      <c r="C263" t="inlineStr">
        <is>
          <t>Test &amp; Assembly</t>
        </is>
      </c>
      <c r="D263" s="7" t="n">
        <v>45444</v>
      </c>
      <c r="E263" s="6" t="n">
        <v>1395385.36</v>
      </c>
      <c r="F263" s="6" t="n">
        <v>1365026.47</v>
      </c>
      <c r="G263" s="6">
        <f>E263-F263</f>
        <v/>
      </c>
      <c r="H263" s="8">
        <f>IFERROR((E263-F263)/E263,"")</f>
        <v/>
      </c>
      <c r="I263" s="6" t="n">
        <v>158071.5</v>
      </c>
    </row>
    <row r="264">
      <c r="A264" t="inlineStr">
        <is>
          <t>Roseville</t>
        </is>
      </c>
      <c r="B264" t="inlineStr">
        <is>
          <t>RSV-TNA</t>
        </is>
      </c>
      <c r="C264" t="inlineStr">
        <is>
          <t>Test &amp; Assembly</t>
        </is>
      </c>
      <c r="D264" s="7" t="n">
        <v>45474</v>
      </c>
      <c r="E264" s="6" t="n">
        <v>1443901.69</v>
      </c>
      <c r="F264" s="6" t="n">
        <v>1453532.71</v>
      </c>
      <c r="G264" s="6">
        <f>E264-F264</f>
        <v/>
      </c>
      <c r="H264" s="8">
        <f>IFERROR((E264-F264)/E264,"")</f>
        <v/>
      </c>
      <c r="I264" s="6" t="n">
        <v>148440.48</v>
      </c>
    </row>
    <row r="265">
      <c r="A265" t="inlineStr">
        <is>
          <t>Roseville</t>
        </is>
      </c>
      <c r="B265" t="inlineStr">
        <is>
          <t>RSV-TNA</t>
        </is>
      </c>
      <c r="C265" t="inlineStr">
        <is>
          <t>Test &amp; Assembly</t>
        </is>
      </c>
      <c r="D265" s="7" t="n">
        <v>45505</v>
      </c>
      <c r="E265" s="6" t="n">
        <v>1467792.93</v>
      </c>
      <c r="F265" s="6" t="n">
        <v>1446688.19</v>
      </c>
      <c r="G265" s="6">
        <f>E265-F265</f>
        <v/>
      </c>
      <c r="H265" s="8">
        <f>IFERROR((E265-F265)/E265,"")</f>
        <v/>
      </c>
      <c r="I265" s="6" t="n">
        <v>169545.22</v>
      </c>
    </row>
    <row r="266">
      <c r="A266" t="inlineStr">
        <is>
          <t>Roseville</t>
        </is>
      </c>
      <c r="B266" t="inlineStr">
        <is>
          <t>RSV-TNA</t>
        </is>
      </c>
      <c r="C266" t="inlineStr">
        <is>
          <t>Test &amp; Assembly</t>
        </is>
      </c>
      <c r="D266" s="7" t="n">
        <v>45536</v>
      </c>
      <c r="E266" s="6" t="n">
        <v>1487001.5</v>
      </c>
      <c r="F266" s="6" t="n">
        <v>1443566.33</v>
      </c>
      <c r="G266" s="6">
        <f>E266-F266</f>
        <v/>
      </c>
      <c r="H266" s="8">
        <f>IFERROR((E266-F266)/E266,"")</f>
        <v/>
      </c>
      <c r="I266" s="6" t="n">
        <v>212980.39</v>
      </c>
    </row>
    <row r="267">
      <c r="A267" t="inlineStr">
        <is>
          <t>Roseville</t>
        </is>
      </c>
      <c r="B267" t="inlineStr">
        <is>
          <t>RSV-TNA</t>
        </is>
      </c>
      <c r="C267" t="inlineStr">
        <is>
          <t>Test &amp; Assembly</t>
        </is>
      </c>
      <c r="D267" s="7" t="n">
        <v>45566</v>
      </c>
      <c r="E267" s="6" t="n">
        <v>1520163.78</v>
      </c>
      <c r="F267" s="6" t="n">
        <v>1496751.34</v>
      </c>
      <c r="G267" s="6">
        <f>E267-F267</f>
        <v/>
      </c>
      <c r="H267" s="8">
        <f>IFERROR((E267-F267)/E267,"")</f>
        <v/>
      </c>
      <c r="I267" s="6" t="n">
        <v>236392.83</v>
      </c>
    </row>
    <row r="268">
      <c r="A268" t="inlineStr">
        <is>
          <t>Roseville</t>
        </is>
      </c>
      <c r="B268" t="inlineStr">
        <is>
          <t>RSV-TNA</t>
        </is>
      </c>
      <c r="C268" t="inlineStr">
        <is>
          <t>Test &amp; Assembly</t>
        </is>
      </c>
      <c r="D268" s="7" t="n">
        <v>45597</v>
      </c>
      <c r="E268" s="6" t="n">
        <v>1482272.83</v>
      </c>
      <c r="F268" s="6" t="n">
        <v>1397807.29</v>
      </c>
      <c r="G268" s="6">
        <f>E268-F268</f>
        <v/>
      </c>
      <c r="H268" s="8">
        <f>IFERROR((E268-F268)/E268,"")</f>
        <v/>
      </c>
      <c r="I268" s="6" t="n">
        <v>320858.37</v>
      </c>
    </row>
    <row r="269">
      <c r="A269" t="inlineStr">
        <is>
          <t>Roseville</t>
        </is>
      </c>
      <c r="B269" t="inlineStr">
        <is>
          <t>RSV-TNA</t>
        </is>
      </c>
      <c r="C269" t="inlineStr">
        <is>
          <t>Test &amp; Assembly</t>
        </is>
      </c>
      <c r="D269" s="7" t="n">
        <v>45627</v>
      </c>
      <c r="E269" s="6" t="n">
        <v>1448753.72</v>
      </c>
      <c r="F269" s="6" t="n">
        <v>1379341.61</v>
      </c>
      <c r="G269" s="6">
        <f>E269-F269</f>
        <v/>
      </c>
      <c r="H269" s="8">
        <f>IFERROR((E269-F269)/E269,"")</f>
        <v/>
      </c>
      <c r="I269" s="6" t="n">
        <v>390270.48</v>
      </c>
    </row>
    <row r="270">
      <c r="A270" t="inlineStr">
        <is>
          <t>Roseville</t>
        </is>
      </c>
      <c r="B270" t="inlineStr">
        <is>
          <t>RSV-TNA</t>
        </is>
      </c>
      <c r="C270" t="inlineStr">
        <is>
          <t>Test &amp; Assembly</t>
        </is>
      </c>
      <c r="D270" s="7" t="n">
        <v>45658</v>
      </c>
      <c r="E270" s="6" t="n">
        <v>1433102.35</v>
      </c>
      <c r="F270" s="6" t="n">
        <v>1373765.4</v>
      </c>
      <c r="G270" s="6">
        <f>E270-F270</f>
        <v/>
      </c>
      <c r="H270" s="8">
        <f>IFERROR((E270-F270)/E270,"")</f>
        <v/>
      </c>
      <c r="I270" s="6" t="n">
        <v>59336.95</v>
      </c>
    </row>
    <row r="271">
      <c r="A271" t="inlineStr">
        <is>
          <t>Roseville</t>
        </is>
      </c>
      <c r="B271" t="inlineStr">
        <is>
          <t>RSV-TNA</t>
        </is>
      </c>
      <c r="C271" t="inlineStr">
        <is>
          <t>Test &amp; Assembly</t>
        </is>
      </c>
      <c r="D271" s="7" t="n">
        <v>45689</v>
      </c>
      <c r="E271" s="6" t="n">
        <v>1376203.32</v>
      </c>
      <c r="F271" s="6" t="n">
        <v>1409281.09</v>
      </c>
      <c r="G271" s="6">
        <f>E271-F271</f>
        <v/>
      </c>
      <c r="H271" s="8">
        <f>IFERROR((E271-F271)/E271,"")</f>
        <v/>
      </c>
      <c r="I271" s="6" t="n">
        <v>26259.18</v>
      </c>
    </row>
    <row r="272">
      <c r="A272" t="inlineStr">
        <is>
          <t>Roseville</t>
        </is>
      </c>
      <c r="B272" t="inlineStr">
        <is>
          <t>RSV-TNA</t>
        </is>
      </c>
      <c r="C272" t="inlineStr">
        <is>
          <t>Test &amp; Assembly</t>
        </is>
      </c>
      <c r="D272" s="7" t="n">
        <v>45717</v>
      </c>
      <c r="E272" s="6" t="n">
        <v>1342313.26</v>
      </c>
      <c r="F272" s="6" t="n">
        <v>1323925.18</v>
      </c>
      <c r="G272" s="6">
        <f>E272-F272</f>
        <v/>
      </c>
      <c r="H272" s="8">
        <f>IFERROR((E272-F272)/E272,"")</f>
        <v/>
      </c>
      <c r="I272" s="6" t="n">
        <v>44647.26</v>
      </c>
    </row>
    <row r="273">
      <c r="A273" t="inlineStr">
        <is>
          <t>Roseville</t>
        </is>
      </c>
      <c r="B273" t="inlineStr">
        <is>
          <t>RSV-TNA</t>
        </is>
      </c>
      <c r="C273" t="inlineStr">
        <is>
          <t>Test &amp; Assembly</t>
        </is>
      </c>
      <c r="D273" s="7" t="n">
        <v>45748</v>
      </c>
      <c r="E273" s="6" t="n">
        <v>1325356.06</v>
      </c>
      <c r="F273" s="6" t="n">
        <v>1297618.04</v>
      </c>
      <c r="G273" s="6">
        <f>E273-F273</f>
        <v/>
      </c>
      <c r="H273" s="8">
        <f>IFERROR((E273-F273)/E273,"")</f>
        <v/>
      </c>
      <c r="I273" s="6" t="n">
        <v>72385.28</v>
      </c>
    </row>
    <row r="274">
      <c r="A274" t="inlineStr">
        <is>
          <t>Roseville</t>
        </is>
      </c>
      <c r="B274" t="inlineStr">
        <is>
          <t>RSV-TNA</t>
        </is>
      </c>
      <c r="C274" t="inlineStr">
        <is>
          <t>Test &amp; Assembly</t>
        </is>
      </c>
      <c r="D274" s="7" t="n">
        <v>45778</v>
      </c>
      <c r="E274" s="6" t="n">
        <v>1347053.99</v>
      </c>
      <c r="F274" s="6" t="n">
        <v>1258162.71</v>
      </c>
      <c r="G274" s="6">
        <f>E274-F274</f>
        <v/>
      </c>
      <c r="H274" s="8">
        <f>IFERROR((E274-F274)/E274,"")</f>
        <v/>
      </c>
      <c r="I274" s="6" t="n">
        <v>161276.56</v>
      </c>
    </row>
    <row r="275">
      <c r="A275" t="inlineStr">
        <is>
          <t>Roseville</t>
        </is>
      </c>
      <c r="B275" t="inlineStr">
        <is>
          <t>RSV-TNA</t>
        </is>
      </c>
      <c r="C275" t="inlineStr">
        <is>
          <t>Test &amp; Assembly</t>
        </is>
      </c>
      <c r="D275" s="7" t="n">
        <v>45809</v>
      </c>
      <c r="E275" s="6" t="n">
        <v>1393663.19</v>
      </c>
      <c r="F275" s="6" t="n">
        <v>1409658.16</v>
      </c>
      <c r="G275" s="6">
        <f>E275-F275</f>
        <v/>
      </c>
      <c r="H275" s="8">
        <f>IFERROR((E275-F275)/E275,"")</f>
        <v/>
      </c>
      <c r="I275" s="6" t="n">
        <v>145281.59</v>
      </c>
    </row>
    <row r="276">
      <c r="A276" t="inlineStr">
        <is>
          <t>Roseville</t>
        </is>
      </c>
      <c r="B276" t="inlineStr">
        <is>
          <t>RSV-TNA</t>
        </is>
      </c>
      <c r="C276" t="inlineStr">
        <is>
          <t>Test &amp; Assembly</t>
        </is>
      </c>
      <c r="D276" s="7" t="n">
        <v>45839</v>
      </c>
      <c r="E276" s="6" t="n">
        <v>1419620.63</v>
      </c>
      <c r="F276" s="6" t="n">
        <v>1349213.64</v>
      </c>
      <c r="G276" s="6">
        <f>E276-F276</f>
        <v/>
      </c>
      <c r="H276" s="8">
        <f>IFERROR((E276-F276)/E276,"")</f>
        <v/>
      </c>
      <c r="I276" s="6" t="n">
        <v>215688.58</v>
      </c>
    </row>
    <row r="277">
      <c r="A277" t="inlineStr">
        <is>
          <t>Roseville</t>
        </is>
      </c>
      <c r="B277" t="inlineStr">
        <is>
          <t>RSV-TNA</t>
        </is>
      </c>
      <c r="C277" t="inlineStr">
        <is>
          <t>Test &amp; Assembly</t>
        </is>
      </c>
      <c r="D277" s="7" t="n">
        <v>45870</v>
      </c>
      <c r="E277" s="6" t="n">
        <v>1428089.41</v>
      </c>
      <c r="F277" s="6" t="n">
        <v>1393842.77</v>
      </c>
      <c r="G277" s="6">
        <f>E277-F277</f>
        <v/>
      </c>
      <c r="H277" s="8">
        <f>IFERROR((E277-F277)/E277,"")</f>
        <v/>
      </c>
      <c r="I277" s="6" t="n">
        <v>249935.22</v>
      </c>
    </row>
    <row r="278">
      <c r="A278" t="inlineStr">
        <is>
          <t>Roseville</t>
        </is>
      </c>
      <c r="B278" t="inlineStr">
        <is>
          <t>RSV-TNA</t>
        </is>
      </c>
      <c r="C278" t="inlineStr">
        <is>
          <t>Test &amp; Assembly</t>
        </is>
      </c>
      <c r="D278" s="7" t="n">
        <v>45901</v>
      </c>
      <c r="E278" s="6" t="n">
        <v>1449460.98</v>
      </c>
      <c r="F278" s="6" t="n">
        <v>1426568.75</v>
      </c>
      <c r="G278" s="6">
        <f>E278-F278</f>
        <v/>
      </c>
      <c r="H278" s="8">
        <f>IFERROR((E278-F278)/E278,"")</f>
        <v/>
      </c>
      <c r="I278" s="6" t="n">
        <v>272827.45</v>
      </c>
    </row>
    <row r="279">
      <c r="A279" t="inlineStr">
        <is>
          <t>Roseville</t>
        </is>
      </c>
      <c r="B279" t="inlineStr">
        <is>
          <t>RSV-TNA</t>
        </is>
      </c>
      <c r="C279" t="inlineStr">
        <is>
          <t>Test &amp; Assembly</t>
        </is>
      </c>
      <c r="D279" s="7" t="n">
        <v>45931</v>
      </c>
      <c r="E279" s="6" t="n">
        <v>1484792.05</v>
      </c>
      <c r="F279" s="6" t="n">
        <v>1450652.84</v>
      </c>
      <c r="G279" s="6">
        <f>E279-F279</f>
        <v/>
      </c>
      <c r="H279" s="8">
        <f>IFERROR((E279-F279)/E279,"")</f>
        <v/>
      </c>
      <c r="I279" s="6" t="n">
        <v>306966.66</v>
      </c>
    </row>
    <row r="280">
      <c r="A280" t="inlineStr">
        <is>
          <t>Roseville</t>
        </is>
      </c>
      <c r="B280" t="inlineStr">
        <is>
          <t>RSV-TNA</t>
        </is>
      </c>
      <c r="C280" t="inlineStr">
        <is>
          <t>Test &amp; Assembly</t>
        </is>
      </c>
      <c r="D280" s="7" t="n">
        <v>45962</v>
      </c>
      <c r="E280" s="6" t="n">
        <v>1472458.18</v>
      </c>
      <c r="F280" s="6" t="n">
        <v>1511396.74</v>
      </c>
      <c r="G280" s="6">
        <f>E280-F280</f>
        <v/>
      </c>
      <c r="H280" s="8">
        <f>IFERROR((E280-F280)/E280,"")</f>
        <v/>
      </c>
      <c r="I280" s="6" t="n">
        <v>268028.1</v>
      </c>
    </row>
    <row r="281">
      <c r="A281" t="inlineStr">
        <is>
          <t>Roseville</t>
        </is>
      </c>
      <c r="B281" t="inlineStr">
        <is>
          <t>RSV-TNA</t>
        </is>
      </c>
      <c r="C281" t="inlineStr">
        <is>
          <t>Test &amp; Assembly</t>
        </is>
      </c>
      <c r="D281" s="7" t="n">
        <v>45992</v>
      </c>
      <c r="E281" s="6" t="n">
        <v>1432052.33</v>
      </c>
      <c r="F281" s="6" t="n">
        <v>1405721.08</v>
      </c>
      <c r="G281" s="6">
        <f>E281-F281</f>
        <v/>
      </c>
      <c r="H281" s="8">
        <f>IFERROR((E281-F281)/E281,"")</f>
        <v/>
      </c>
      <c r="I281" s="6" t="n">
        <v>294359.35</v>
      </c>
    </row>
    <row r="282">
      <c r="A282" t="inlineStr">
        <is>
          <t>Roseville</t>
        </is>
      </c>
      <c r="B282" t="inlineStr">
        <is>
          <t>RSV-TNA</t>
        </is>
      </c>
      <c r="C282" t="inlineStr">
        <is>
          <t>Test &amp; Assembly</t>
        </is>
      </c>
      <c r="D282" s="7" t="n">
        <v>46023</v>
      </c>
      <c r="E282" s="6" t="n">
        <v>1408540.59</v>
      </c>
      <c r="F282" s="6" t="n">
        <v>1388818.25</v>
      </c>
      <c r="G282" s="6">
        <f>E282-F282</f>
        <v/>
      </c>
      <c r="H282" s="8">
        <f>IFERROR((E282-F282)/E282,"")</f>
        <v/>
      </c>
      <c r="I282" s="6" t="n">
        <v>19722.34</v>
      </c>
    </row>
    <row r="283">
      <c r="A283" t="inlineStr">
        <is>
          <t>Roseville</t>
        </is>
      </c>
      <c r="B283" t="inlineStr">
        <is>
          <t>RSV-TNA</t>
        </is>
      </c>
      <c r="C283" t="inlineStr">
        <is>
          <t>Test &amp; Assembly</t>
        </is>
      </c>
      <c r="D283" s="7" t="n">
        <v>46054</v>
      </c>
      <c r="E283" s="6" t="n">
        <v>1358579.44</v>
      </c>
      <c r="F283" s="6" t="n">
        <v>1365585.62</v>
      </c>
      <c r="G283" s="6">
        <f>E283-F283</f>
        <v/>
      </c>
      <c r="H283" s="8">
        <f>IFERROR((E283-F283)/E283,"")</f>
        <v/>
      </c>
      <c r="I283" s="6" t="n">
        <v>12716.16</v>
      </c>
    </row>
    <row r="284">
      <c r="A284" t="inlineStr">
        <is>
          <t>Roseville</t>
        </is>
      </c>
      <c r="B284" t="inlineStr">
        <is>
          <t>RSV-TNA</t>
        </is>
      </c>
      <c r="C284" t="inlineStr">
        <is>
          <t>Test &amp; Assembly</t>
        </is>
      </c>
      <c r="D284" s="7" t="n">
        <v>46082</v>
      </c>
      <c r="E284" s="6" t="n">
        <v>1342310</v>
      </c>
      <c r="F284" s="6" t="n">
        <v>1345347.33</v>
      </c>
      <c r="G284" s="6">
        <f>E284-F284</f>
        <v/>
      </c>
      <c r="H284" s="8">
        <f>IFERROR((E284-F284)/E284,"")</f>
        <v/>
      </c>
      <c r="I284" s="6" t="n">
        <v>9678.83</v>
      </c>
    </row>
    <row r="285">
      <c r="A285" t="inlineStr">
        <is>
          <t>Roseville</t>
        </is>
      </c>
      <c r="B285" t="inlineStr">
        <is>
          <t>RSV-TNA</t>
        </is>
      </c>
      <c r="C285" t="inlineStr">
        <is>
          <t>Test &amp; Assembly</t>
        </is>
      </c>
      <c r="D285" s="7" t="n">
        <v>46113</v>
      </c>
      <c r="E285" s="6" t="n">
        <v>1304500.34</v>
      </c>
      <c r="F285" s="6" t="n">
        <v>1374043.44</v>
      </c>
      <c r="G285" s="6">
        <f>E285-F285</f>
        <v/>
      </c>
      <c r="H285" s="8">
        <f>IFERROR((E285-F285)/E285,"")</f>
        <v/>
      </c>
      <c r="I285" s="6" t="n">
        <v>-59864.27</v>
      </c>
    </row>
    <row r="286">
      <c r="A286" t="inlineStr">
        <is>
          <t>Roseville</t>
        </is>
      </c>
      <c r="B286" t="inlineStr">
        <is>
          <t>RSV-TNA</t>
        </is>
      </c>
      <c r="C286" t="inlineStr">
        <is>
          <t>Test &amp; Assembly</t>
        </is>
      </c>
      <c r="D286" s="7" t="n">
        <v>46143</v>
      </c>
      <c r="E286" s="6" t="n">
        <v>1342141.08</v>
      </c>
      <c r="F286" s="6" t="n">
        <v>1367694.84</v>
      </c>
      <c r="G286" s="6">
        <f>E286-F286</f>
        <v/>
      </c>
      <c r="H286" s="8">
        <f>IFERROR((E286-F286)/E286,"")</f>
        <v/>
      </c>
      <c r="I286" s="6" t="n">
        <v>-85418.03</v>
      </c>
    </row>
    <row r="287">
      <c r="A287" t="inlineStr">
        <is>
          <t>Roseville</t>
        </is>
      </c>
      <c r="B287" t="inlineStr">
        <is>
          <t>RSV-TNA</t>
        </is>
      </c>
      <c r="C287" t="inlineStr">
        <is>
          <t>Test &amp; Assembly</t>
        </is>
      </c>
      <c r="D287" s="7" t="n">
        <v>46174</v>
      </c>
      <c r="E287" s="6" t="n">
        <v>1351044.32</v>
      </c>
      <c r="F287" s="6" t="n">
        <v>1365476.62</v>
      </c>
      <c r="G287" s="6">
        <f>E287-F287</f>
        <v/>
      </c>
      <c r="H287" s="8">
        <f>IFERROR((E287-F287)/E287,"")</f>
        <v/>
      </c>
      <c r="I287" s="6" t="n">
        <v>-99850.33</v>
      </c>
    </row>
    <row r="288">
      <c r="A288" t="inlineStr">
        <is>
          <t>Roseville</t>
        </is>
      </c>
      <c r="B288" t="inlineStr">
        <is>
          <t>RSV-TNA</t>
        </is>
      </c>
      <c r="C288" t="inlineStr">
        <is>
          <t>Test &amp; Assembly</t>
        </is>
      </c>
      <c r="D288" s="7" t="n">
        <v>46204</v>
      </c>
      <c r="E288" s="6" t="n">
        <v>1397576.52</v>
      </c>
      <c r="F288" s="6" t="n">
        <v>1338169.67</v>
      </c>
      <c r="G288" s="6">
        <f>E288-F288</f>
        <v/>
      </c>
      <c r="H288" s="8">
        <f>IFERROR((E288-F288)/E288,"")</f>
        <v/>
      </c>
      <c r="I288" s="6" t="n">
        <v>-40443.48</v>
      </c>
    </row>
    <row r="289">
      <c r="A289" t="inlineStr">
        <is>
          <t>Roseville</t>
        </is>
      </c>
      <c r="B289" t="inlineStr">
        <is>
          <t>RSV-TNA</t>
        </is>
      </c>
      <c r="C289" t="inlineStr">
        <is>
          <t>Test &amp; Assembly</t>
        </is>
      </c>
      <c r="D289" s="7" t="n">
        <v>46235</v>
      </c>
      <c r="E289" s="6" t="n">
        <v>1417753.39</v>
      </c>
      <c r="F289" s="6" t="n">
        <v>1449509.33</v>
      </c>
      <c r="G289" s="6">
        <f>E289-F289</f>
        <v/>
      </c>
      <c r="H289" s="8">
        <f>IFERROR((E289-F289)/E289,"")</f>
        <v/>
      </c>
      <c r="I289" s="6" t="n">
        <v>-72199.42</v>
      </c>
    </row>
    <row r="290">
      <c r="A290" t="inlineStr">
        <is>
          <t>Roseville</t>
        </is>
      </c>
      <c r="B290" t="inlineStr">
        <is>
          <t>RSV-FAC</t>
        </is>
      </c>
      <c r="C290" t="inlineStr">
        <is>
          <t>Facilities</t>
        </is>
      </c>
      <c r="D290" s="7" t="n">
        <v>45170</v>
      </c>
      <c r="E290" s="6" t="n">
        <v>1430466.82</v>
      </c>
      <c r="F290" s="6" t="n">
        <v>1647837.29</v>
      </c>
      <c r="G290" s="6">
        <f>E290-F290</f>
        <v/>
      </c>
      <c r="H290" s="8">
        <f>IFERROR((E290-F290)/E290,"")</f>
        <v/>
      </c>
      <c r="I290" s="6" t="n">
        <v>-217370.47</v>
      </c>
    </row>
    <row r="291">
      <c r="A291" t="inlineStr">
        <is>
          <t>Roseville</t>
        </is>
      </c>
      <c r="B291" t="inlineStr">
        <is>
          <t>RSV-FAC</t>
        </is>
      </c>
      <c r="C291" t="inlineStr">
        <is>
          <t>Facilities</t>
        </is>
      </c>
      <c r="D291" s="7" t="n">
        <v>45200</v>
      </c>
      <c r="E291" s="6" t="n">
        <v>1425029.91</v>
      </c>
      <c r="F291" s="6" t="n">
        <v>1612341.75</v>
      </c>
      <c r="G291" s="6">
        <f>E291-F291</f>
        <v/>
      </c>
      <c r="H291" s="8">
        <f>IFERROR((E291-F291)/E291,"")</f>
        <v/>
      </c>
      <c r="I291" s="6" t="n">
        <v>-404682.31</v>
      </c>
    </row>
    <row r="292">
      <c r="A292" t="inlineStr">
        <is>
          <t>Roseville</t>
        </is>
      </c>
      <c r="B292" t="inlineStr">
        <is>
          <t>RSV-FAC</t>
        </is>
      </c>
      <c r="C292" t="inlineStr">
        <is>
          <t>Facilities</t>
        </is>
      </c>
      <c r="D292" s="7" t="n">
        <v>45231</v>
      </c>
      <c r="E292" s="6" t="n">
        <v>1492739.49</v>
      </c>
      <c r="F292" s="6" t="n">
        <v>1771993.35</v>
      </c>
      <c r="G292" s="6">
        <f>E292-F292</f>
        <v/>
      </c>
      <c r="H292" s="8">
        <f>IFERROR((E292-F292)/E292,"")</f>
        <v/>
      </c>
      <c r="I292" s="6" t="n">
        <v>-683936.17</v>
      </c>
    </row>
    <row r="293">
      <c r="A293" t="inlineStr">
        <is>
          <t>Roseville</t>
        </is>
      </c>
      <c r="B293" t="inlineStr">
        <is>
          <t>RSV-FAC</t>
        </is>
      </c>
      <c r="C293" t="inlineStr">
        <is>
          <t>Facilities</t>
        </is>
      </c>
      <c r="D293" s="7" t="n">
        <v>45261</v>
      </c>
      <c r="E293" s="6" t="n">
        <v>1502603.95</v>
      </c>
      <c r="F293" s="6" t="n">
        <v>1779025.24</v>
      </c>
      <c r="G293" s="6">
        <f>E293-F293</f>
        <v/>
      </c>
      <c r="H293" s="8">
        <f>IFERROR((E293-F293)/E293,"")</f>
        <v/>
      </c>
      <c r="I293" s="6" t="n">
        <v>-960357.46</v>
      </c>
    </row>
    <row r="294">
      <c r="A294" t="inlineStr">
        <is>
          <t>Roseville</t>
        </is>
      </c>
      <c r="B294" t="inlineStr">
        <is>
          <t>RSV-FAC</t>
        </is>
      </c>
      <c r="C294" t="inlineStr">
        <is>
          <t>Facilities</t>
        </is>
      </c>
      <c r="D294" s="7" t="n">
        <v>45292</v>
      </c>
      <c r="E294" s="6" t="n">
        <v>1443061.52</v>
      </c>
      <c r="F294" s="6" t="n">
        <v>1791523.05</v>
      </c>
      <c r="G294" s="6">
        <f>E294-F294</f>
        <v/>
      </c>
      <c r="H294" s="8">
        <f>IFERROR((E294-F294)/E294,"")</f>
        <v/>
      </c>
      <c r="I294" s="6" t="n">
        <v>-348461.53</v>
      </c>
    </row>
    <row r="295">
      <c r="A295" t="inlineStr">
        <is>
          <t>Roseville</t>
        </is>
      </c>
      <c r="B295" t="inlineStr">
        <is>
          <t>RSV-FAC</t>
        </is>
      </c>
      <c r="C295" t="inlineStr">
        <is>
          <t>Facilities</t>
        </is>
      </c>
      <c r="D295" s="7" t="n">
        <v>45323</v>
      </c>
      <c r="E295" s="6" t="n">
        <v>1412968.44</v>
      </c>
      <c r="F295" s="6" t="n">
        <v>1607542.01</v>
      </c>
      <c r="G295" s="6">
        <f>E295-F295</f>
        <v/>
      </c>
      <c r="H295" s="8">
        <f>IFERROR((E295-F295)/E295,"")</f>
        <v/>
      </c>
      <c r="I295" s="6" t="n">
        <v>-543035.1</v>
      </c>
    </row>
    <row r="296">
      <c r="A296" t="inlineStr">
        <is>
          <t>Roseville</t>
        </is>
      </c>
      <c r="B296" t="inlineStr">
        <is>
          <t>RSV-FAC</t>
        </is>
      </c>
      <c r="C296" t="inlineStr">
        <is>
          <t>Facilities</t>
        </is>
      </c>
      <c r="D296" s="7" t="n">
        <v>45352</v>
      </c>
      <c r="E296" s="6" t="n">
        <v>1302174.4</v>
      </c>
      <c r="F296" s="6" t="n">
        <v>1545421.89</v>
      </c>
      <c r="G296" s="6">
        <f>E296-F296</f>
        <v/>
      </c>
      <c r="H296" s="8">
        <f>IFERROR((E296-F296)/E296,"")</f>
        <v/>
      </c>
      <c r="I296" s="6" t="n">
        <v>-786282.59</v>
      </c>
    </row>
    <row r="297">
      <c r="A297" t="inlineStr">
        <is>
          <t>Roseville</t>
        </is>
      </c>
      <c r="B297" t="inlineStr">
        <is>
          <t>RSV-FAC</t>
        </is>
      </c>
      <c r="C297" t="inlineStr">
        <is>
          <t>Facilities</t>
        </is>
      </c>
      <c r="D297" s="7" t="n">
        <v>45383</v>
      </c>
      <c r="E297" s="6" t="n">
        <v>1305605.12</v>
      </c>
      <c r="F297" s="6" t="n">
        <v>1463611.67</v>
      </c>
      <c r="G297" s="6">
        <f>E297-F297</f>
        <v/>
      </c>
      <c r="H297" s="8">
        <f>IFERROR((E297-F297)/E297,"")</f>
        <v/>
      </c>
      <c r="I297" s="6" t="n">
        <v>-944289.14</v>
      </c>
    </row>
    <row r="298">
      <c r="A298" t="inlineStr">
        <is>
          <t>Roseville</t>
        </is>
      </c>
      <c r="B298" t="inlineStr">
        <is>
          <t>RSV-FAC</t>
        </is>
      </c>
      <c r="C298" t="inlineStr">
        <is>
          <t>Facilities</t>
        </is>
      </c>
      <c r="D298" s="7" t="n">
        <v>45413</v>
      </c>
      <c r="E298" s="6" t="n">
        <v>1286874.41</v>
      </c>
      <c r="F298" s="6" t="n">
        <v>1458201.92</v>
      </c>
      <c r="G298" s="6">
        <f>E298-F298</f>
        <v/>
      </c>
      <c r="H298" s="8">
        <f>IFERROR((E298-F298)/E298,"")</f>
        <v/>
      </c>
      <c r="I298" s="6" t="n">
        <v>-1115616.65</v>
      </c>
    </row>
    <row r="299">
      <c r="A299" t="inlineStr">
        <is>
          <t>Roseville</t>
        </is>
      </c>
      <c r="B299" t="inlineStr">
        <is>
          <t>RSV-FAC</t>
        </is>
      </c>
      <c r="C299" t="inlineStr">
        <is>
          <t>Facilities</t>
        </is>
      </c>
      <c r="D299" s="7" t="n">
        <v>45444</v>
      </c>
      <c r="E299" s="6" t="n">
        <v>1322322.86</v>
      </c>
      <c r="F299" s="6" t="n">
        <v>1512779.65</v>
      </c>
      <c r="G299" s="6">
        <f>E299-F299</f>
        <v/>
      </c>
      <c r="H299" s="8">
        <f>IFERROR((E299-F299)/E299,"")</f>
        <v/>
      </c>
      <c r="I299" s="6" t="n">
        <v>-1306073.44</v>
      </c>
    </row>
    <row r="300">
      <c r="A300" t="inlineStr">
        <is>
          <t>Roseville</t>
        </is>
      </c>
      <c r="B300" t="inlineStr">
        <is>
          <t>RSV-FAC</t>
        </is>
      </c>
      <c r="C300" t="inlineStr">
        <is>
          <t>Facilities</t>
        </is>
      </c>
      <c r="D300" s="7" t="n">
        <v>45474</v>
      </c>
      <c r="E300" s="6" t="n">
        <v>1375121.12</v>
      </c>
      <c r="F300" s="6" t="n">
        <v>1596594.57</v>
      </c>
      <c r="G300" s="6">
        <f>E300-F300</f>
        <v/>
      </c>
      <c r="H300" s="8">
        <f>IFERROR((E300-F300)/E300,"")</f>
        <v/>
      </c>
      <c r="I300" s="6" t="n">
        <v>-1527546.89</v>
      </c>
    </row>
    <row r="301">
      <c r="A301" t="inlineStr">
        <is>
          <t>Roseville</t>
        </is>
      </c>
      <c r="B301" t="inlineStr">
        <is>
          <t>RSV-FAC</t>
        </is>
      </c>
      <c r="C301" t="inlineStr">
        <is>
          <t>Facilities</t>
        </is>
      </c>
      <c r="D301" s="7" t="n">
        <v>45505</v>
      </c>
      <c r="E301" s="6" t="n">
        <v>1444737.51</v>
      </c>
      <c r="F301" s="6" t="n">
        <v>1664849.78</v>
      </c>
      <c r="G301" s="6">
        <f>E301-F301</f>
        <v/>
      </c>
      <c r="H301" s="8">
        <f>IFERROR((E301-F301)/E301,"")</f>
        <v/>
      </c>
      <c r="I301" s="6" t="n">
        <v>-1747659.16</v>
      </c>
    </row>
    <row r="302">
      <c r="A302" t="inlineStr">
        <is>
          <t>Roseville</t>
        </is>
      </c>
      <c r="B302" t="inlineStr">
        <is>
          <t>RSV-FAC</t>
        </is>
      </c>
      <c r="C302" t="inlineStr">
        <is>
          <t>Facilities</t>
        </is>
      </c>
      <c r="D302" s="7" t="n">
        <v>45536</v>
      </c>
      <c r="E302" s="6" t="n">
        <v>1363036.1</v>
      </c>
      <c r="F302" s="6" t="n">
        <v>1554413.68</v>
      </c>
      <c r="G302" s="6">
        <f>E302-F302</f>
        <v/>
      </c>
      <c r="H302" s="8">
        <f>IFERROR((E302-F302)/E302,"")</f>
        <v/>
      </c>
      <c r="I302" s="6" t="n">
        <v>-1939036.74</v>
      </c>
    </row>
    <row r="303">
      <c r="A303" t="inlineStr">
        <is>
          <t>Roseville</t>
        </is>
      </c>
      <c r="B303" t="inlineStr">
        <is>
          <t>RSV-FAC</t>
        </is>
      </c>
      <c r="C303" t="inlineStr">
        <is>
          <t>Facilities</t>
        </is>
      </c>
      <c r="D303" s="7" t="n">
        <v>45566</v>
      </c>
      <c r="E303" s="6" t="n">
        <v>1388746.04</v>
      </c>
      <c r="F303" s="6" t="n">
        <v>1588154.55</v>
      </c>
      <c r="G303" s="6">
        <f>E303-F303</f>
        <v/>
      </c>
      <c r="H303" s="8">
        <f>IFERROR((E303-F303)/E303,"")</f>
        <v/>
      </c>
      <c r="I303" s="6" t="n">
        <v>-2138445.25</v>
      </c>
    </row>
    <row r="304">
      <c r="A304" t="inlineStr">
        <is>
          <t>Roseville</t>
        </is>
      </c>
      <c r="B304" t="inlineStr">
        <is>
          <t>RSV-FAC</t>
        </is>
      </c>
      <c r="C304" t="inlineStr">
        <is>
          <t>Facilities</t>
        </is>
      </c>
      <c r="D304" s="7" t="n">
        <v>45597</v>
      </c>
      <c r="E304" s="6" t="n">
        <v>1506934.84</v>
      </c>
      <c r="F304" s="6" t="n">
        <v>1596072.33</v>
      </c>
      <c r="G304" s="6">
        <f>E304-F304</f>
        <v/>
      </c>
      <c r="H304" s="8">
        <f>IFERROR((E304-F304)/E304,"")</f>
        <v/>
      </c>
      <c r="I304" s="6" t="n">
        <v>-2227582.74</v>
      </c>
    </row>
    <row r="305">
      <c r="A305" t="inlineStr">
        <is>
          <t>Roseville</t>
        </is>
      </c>
      <c r="B305" t="inlineStr">
        <is>
          <t>RSV-FAC</t>
        </is>
      </c>
      <c r="C305" t="inlineStr">
        <is>
          <t>Facilities</t>
        </is>
      </c>
      <c r="D305" s="7" t="n">
        <v>45627</v>
      </c>
      <c r="E305" s="6" t="n">
        <v>1481999.2</v>
      </c>
      <c r="F305" s="6" t="n">
        <v>1630560.87</v>
      </c>
      <c r="G305" s="6">
        <f>E305-F305</f>
        <v/>
      </c>
      <c r="H305" s="8">
        <f>IFERROR((E305-F305)/E305,"")</f>
        <v/>
      </c>
      <c r="I305" s="6" t="n">
        <v>-2376144.41</v>
      </c>
    </row>
    <row r="306">
      <c r="A306" t="inlineStr">
        <is>
          <t>Roseville</t>
        </is>
      </c>
      <c r="B306" t="inlineStr">
        <is>
          <t>RSV-FAC</t>
        </is>
      </c>
      <c r="C306" t="inlineStr">
        <is>
          <t>Facilities</t>
        </is>
      </c>
      <c r="D306" s="7" t="n">
        <v>45658</v>
      </c>
      <c r="E306" s="6" t="n">
        <v>1471486.07</v>
      </c>
      <c r="F306" s="6" t="n">
        <v>1568223.16</v>
      </c>
      <c r="G306" s="6">
        <f>E306-F306</f>
        <v/>
      </c>
      <c r="H306" s="8">
        <f>IFERROR((E306-F306)/E306,"")</f>
        <v/>
      </c>
      <c r="I306" s="6" t="n">
        <v>-96737.09</v>
      </c>
    </row>
    <row r="307">
      <c r="A307" t="inlineStr">
        <is>
          <t>Roseville</t>
        </is>
      </c>
      <c r="B307" t="inlineStr">
        <is>
          <t>RSV-FAC</t>
        </is>
      </c>
      <c r="C307" t="inlineStr">
        <is>
          <t>Facilities</t>
        </is>
      </c>
      <c r="D307" s="7" t="n">
        <v>45689</v>
      </c>
      <c r="E307" s="6" t="n">
        <v>1404400.31</v>
      </c>
      <c r="F307" s="6" t="n">
        <v>1608672.76</v>
      </c>
      <c r="G307" s="6">
        <f>E307-F307</f>
        <v/>
      </c>
      <c r="H307" s="8">
        <f>IFERROR((E307-F307)/E307,"")</f>
        <v/>
      </c>
      <c r="I307" s="6" t="n">
        <v>-301009.54</v>
      </c>
    </row>
    <row r="308">
      <c r="A308" t="inlineStr">
        <is>
          <t>Roseville</t>
        </is>
      </c>
      <c r="B308" t="inlineStr">
        <is>
          <t>RSV-FAC</t>
        </is>
      </c>
      <c r="C308" t="inlineStr">
        <is>
          <t>Facilities</t>
        </is>
      </c>
      <c r="D308" s="7" t="n">
        <v>45717</v>
      </c>
      <c r="E308" s="6" t="n">
        <v>1274361.49</v>
      </c>
      <c r="F308" s="6" t="n">
        <v>1361326.62</v>
      </c>
      <c r="G308" s="6">
        <f>E308-F308</f>
        <v/>
      </c>
      <c r="H308" s="8">
        <f>IFERROR((E308-F308)/E308,"")</f>
        <v/>
      </c>
      <c r="I308" s="6" t="n">
        <v>-387974.67</v>
      </c>
    </row>
    <row r="309">
      <c r="A309" t="inlineStr">
        <is>
          <t>Roseville</t>
        </is>
      </c>
      <c r="B309" t="inlineStr">
        <is>
          <t>RSV-FAC</t>
        </is>
      </c>
      <c r="C309" t="inlineStr">
        <is>
          <t>Facilities</t>
        </is>
      </c>
      <c r="D309" s="7" t="n">
        <v>45748</v>
      </c>
      <c r="E309" s="6" t="n">
        <v>1242881.19</v>
      </c>
      <c r="F309" s="6" t="n">
        <v>1337685.82</v>
      </c>
      <c r="G309" s="6">
        <f>E309-F309</f>
        <v/>
      </c>
      <c r="H309" s="8">
        <f>IFERROR((E309-F309)/E309,"")</f>
        <v/>
      </c>
      <c r="I309" s="6" t="n">
        <v>-482779.3</v>
      </c>
    </row>
    <row r="310">
      <c r="A310" t="inlineStr">
        <is>
          <t>Roseville</t>
        </is>
      </c>
      <c r="B310" t="inlineStr">
        <is>
          <t>RSV-FAC</t>
        </is>
      </c>
      <c r="C310" t="inlineStr">
        <is>
          <t>Facilities</t>
        </is>
      </c>
      <c r="D310" s="7" t="n">
        <v>45778</v>
      </c>
      <c r="E310" s="6" t="n">
        <v>1273672.17</v>
      </c>
      <c r="F310" s="6" t="n">
        <v>1404545.83</v>
      </c>
      <c r="G310" s="6">
        <f>E310-F310</f>
        <v/>
      </c>
      <c r="H310" s="8">
        <f>IFERROR((E310-F310)/E310,"")</f>
        <v/>
      </c>
      <c r="I310" s="6" t="n">
        <v>-613652.96</v>
      </c>
    </row>
    <row r="311">
      <c r="A311" t="inlineStr">
        <is>
          <t>Roseville</t>
        </is>
      </c>
      <c r="B311" t="inlineStr">
        <is>
          <t>RSV-FAC</t>
        </is>
      </c>
      <c r="C311" t="inlineStr">
        <is>
          <t>Facilities</t>
        </is>
      </c>
      <c r="D311" s="7" t="n">
        <v>45809</v>
      </c>
      <c r="E311" s="6" t="n">
        <v>1309295</v>
      </c>
      <c r="F311" s="6" t="n">
        <v>1447084.71</v>
      </c>
      <c r="G311" s="6">
        <f>E311-F311</f>
        <v/>
      </c>
      <c r="H311" s="8">
        <f>IFERROR((E311-F311)/E311,"")</f>
        <v/>
      </c>
      <c r="I311" s="6" t="n">
        <v>-751442.67</v>
      </c>
    </row>
    <row r="312">
      <c r="A312" t="inlineStr">
        <is>
          <t>Roseville</t>
        </is>
      </c>
      <c r="B312" t="inlineStr">
        <is>
          <t>RSV-FAC</t>
        </is>
      </c>
      <c r="C312" t="inlineStr">
        <is>
          <t>Facilities</t>
        </is>
      </c>
      <c r="D312" s="7" t="n">
        <v>45839</v>
      </c>
      <c r="E312" s="6" t="n">
        <v>1390650.6</v>
      </c>
      <c r="F312" s="6" t="n">
        <v>1543022.76</v>
      </c>
      <c r="G312" s="6">
        <f>E312-F312</f>
        <v/>
      </c>
      <c r="H312" s="8">
        <f>IFERROR((E312-F312)/E312,"")</f>
        <v/>
      </c>
      <c r="I312" s="6" t="n">
        <v>-903814.83</v>
      </c>
    </row>
    <row r="313">
      <c r="A313" t="inlineStr">
        <is>
          <t>Roseville</t>
        </is>
      </c>
      <c r="B313" t="inlineStr">
        <is>
          <t>RSV-FAC</t>
        </is>
      </c>
      <c r="C313" t="inlineStr">
        <is>
          <t>Facilities</t>
        </is>
      </c>
      <c r="D313" s="7" t="n">
        <v>45870</v>
      </c>
      <c r="E313" s="6" t="n">
        <v>1425983.22</v>
      </c>
      <c r="F313" s="6" t="n">
        <v>1439596.29</v>
      </c>
      <c r="G313" s="6">
        <f>E313-F313</f>
        <v/>
      </c>
      <c r="H313" s="8">
        <f>IFERROR((E313-F313)/E313,"")</f>
        <v/>
      </c>
      <c r="I313" s="6" t="n">
        <v>-917427.9</v>
      </c>
    </row>
    <row r="314">
      <c r="A314" t="inlineStr">
        <is>
          <t>Roseville</t>
        </is>
      </c>
      <c r="B314" t="inlineStr">
        <is>
          <t>RSV-FAC</t>
        </is>
      </c>
      <c r="C314" t="inlineStr">
        <is>
          <t>Facilities</t>
        </is>
      </c>
      <c r="D314" s="7" t="n">
        <v>45901</v>
      </c>
      <c r="E314" s="6" t="n">
        <v>1360223.96</v>
      </c>
      <c r="F314" s="6" t="n">
        <v>1510110.58</v>
      </c>
      <c r="G314" s="6">
        <f>E314-F314</f>
        <v/>
      </c>
      <c r="H314" s="8">
        <f>IFERROR((E314-F314)/E314,"")</f>
        <v/>
      </c>
      <c r="I314" s="6" t="n">
        <v>-1067314.52</v>
      </c>
    </row>
    <row r="315">
      <c r="A315" t="inlineStr">
        <is>
          <t>Roseville</t>
        </is>
      </c>
      <c r="B315" t="inlineStr">
        <is>
          <t>RSV-FAC</t>
        </is>
      </c>
      <c r="C315" t="inlineStr">
        <is>
          <t>Facilities</t>
        </is>
      </c>
      <c r="D315" s="7" t="n">
        <v>45931</v>
      </c>
      <c r="E315" s="6" t="n">
        <v>1366780.29</v>
      </c>
      <c r="F315" s="6" t="n">
        <v>1417035.66</v>
      </c>
      <c r="G315" s="6">
        <f>E315-F315</f>
        <v/>
      </c>
      <c r="H315" s="8">
        <f>IFERROR((E315-F315)/E315,"")</f>
        <v/>
      </c>
      <c r="I315" s="6" t="n">
        <v>-1117569.89</v>
      </c>
    </row>
    <row r="316">
      <c r="A316" t="inlineStr">
        <is>
          <t>Roseville</t>
        </is>
      </c>
      <c r="B316" t="inlineStr">
        <is>
          <t>RSV-FAC</t>
        </is>
      </c>
      <c r="C316" t="inlineStr">
        <is>
          <t>Facilities</t>
        </is>
      </c>
      <c r="D316" s="7" t="n">
        <v>45962</v>
      </c>
      <c r="E316" s="6" t="n">
        <v>1443877.71</v>
      </c>
      <c r="F316" s="6" t="n">
        <v>1591581.3</v>
      </c>
      <c r="G316" s="6">
        <f>E316-F316</f>
        <v/>
      </c>
      <c r="H316" s="8">
        <f>IFERROR((E316-F316)/E316,"")</f>
        <v/>
      </c>
      <c r="I316" s="6" t="n">
        <v>-1265273.48</v>
      </c>
    </row>
    <row r="317">
      <c r="A317" t="inlineStr">
        <is>
          <t>Roseville</t>
        </is>
      </c>
      <c r="B317" t="inlineStr">
        <is>
          <t>RSV-FAC</t>
        </is>
      </c>
      <c r="C317" t="inlineStr">
        <is>
          <t>Facilities</t>
        </is>
      </c>
      <c r="D317" s="7" t="n">
        <v>45992</v>
      </c>
      <c r="E317" s="6" t="n">
        <v>1453301.02</v>
      </c>
      <c r="F317" s="6" t="n">
        <v>1475439.37</v>
      </c>
      <c r="G317" s="6">
        <f>E317-F317</f>
        <v/>
      </c>
      <c r="H317" s="8">
        <f>IFERROR((E317-F317)/E317,"")</f>
        <v/>
      </c>
      <c r="I317" s="6" t="n">
        <v>-1287411.83</v>
      </c>
    </row>
    <row r="318">
      <c r="A318" t="inlineStr">
        <is>
          <t>Roseville</t>
        </is>
      </c>
      <c r="B318" t="inlineStr">
        <is>
          <t>RSV-FAC</t>
        </is>
      </c>
      <c r="C318" t="inlineStr">
        <is>
          <t>Facilities</t>
        </is>
      </c>
      <c r="D318" s="7" t="n">
        <v>46023</v>
      </c>
      <c r="E318" s="6" t="n">
        <v>1420216.75</v>
      </c>
      <c r="F318" s="6" t="n">
        <v>1576923.37</v>
      </c>
      <c r="G318" s="6">
        <f>E318-F318</f>
        <v/>
      </c>
      <c r="H318" s="8">
        <f>IFERROR((E318-F318)/E318,"")</f>
        <v/>
      </c>
      <c r="I318" s="6" t="n">
        <v>-156706.62</v>
      </c>
    </row>
    <row r="319">
      <c r="A319" t="inlineStr">
        <is>
          <t>Roseville</t>
        </is>
      </c>
      <c r="B319" t="inlineStr">
        <is>
          <t>RSV-FAC</t>
        </is>
      </c>
      <c r="C319" t="inlineStr">
        <is>
          <t>Facilities</t>
        </is>
      </c>
      <c r="D319" s="7" t="n">
        <v>46054</v>
      </c>
      <c r="E319" s="6" t="n">
        <v>1406620.71</v>
      </c>
      <c r="F319" s="6" t="n">
        <v>1529420.26</v>
      </c>
      <c r="G319" s="6">
        <f>E319-F319</f>
        <v/>
      </c>
      <c r="H319" s="8">
        <f>IFERROR((E319-F319)/E319,"")</f>
        <v/>
      </c>
      <c r="I319" s="6" t="n">
        <v>-279506.17</v>
      </c>
    </row>
    <row r="320">
      <c r="A320" t="inlineStr">
        <is>
          <t>Roseville</t>
        </is>
      </c>
      <c r="B320" t="inlineStr">
        <is>
          <t>RSV-FAC</t>
        </is>
      </c>
      <c r="C320" t="inlineStr">
        <is>
          <t>Facilities</t>
        </is>
      </c>
      <c r="D320" s="7" t="n">
        <v>46082</v>
      </c>
      <c r="E320" s="6" t="n">
        <v>1245905.69</v>
      </c>
      <c r="F320" s="6" t="n">
        <v>1465094.27</v>
      </c>
      <c r="G320" s="6">
        <f>E320-F320</f>
        <v/>
      </c>
      <c r="H320" s="8">
        <f>IFERROR((E320-F320)/E320,"")</f>
        <v/>
      </c>
      <c r="I320" s="6" t="n">
        <v>-498694.75</v>
      </c>
    </row>
    <row r="321">
      <c r="A321" t="inlineStr">
        <is>
          <t>Roseville</t>
        </is>
      </c>
      <c r="B321" t="inlineStr">
        <is>
          <t>RSV-FAC</t>
        </is>
      </c>
      <c r="C321" t="inlineStr">
        <is>
          <t>Facilities</t>
        </is>
      </c>
      <c r="D321" s="7" t="n">
        <v>46113</v>
      </c>
      <c r="E321" s="6" t="n">
        <v>1210311.68</v>
      </c>
      <c r="F321" s="6" t="n">
        <v>1333645.16</v>
      </c>
      <c r="G321" s="6">
        <f>E321-F321</f>
        <v/>
      </c>
      <c r="H321" s="8">
        <f>IFERROR((E321-F321)/E321,"")</f>
        <v/>
      </c>
      <c r="I321" s="6" t="n">
        <v>-622028.23</v>
      </c>
    </row>
    <row r="322">
      <c r="A322" t="inlineStr">
        <is>
          <t>Roseville</t>
        </is>
      </c>
      <c r="B322" t="inlineStr">
        <is>
          <t>RSV-FAC</t>
        </is>
      </c>
      <c r="C322" t="inlineStr">
        <is>
          <t>Facilities</t>
        </is>
      </c>
      <c r="D322" s="7" t="n">
        <v>46143</v>
      </c>
      <c r="E322" s="6" t="n">
        <v>1223050.4</v>
      </c>
      <c r="F322" s="6" t="n">
        <v>1431318.46</v>
      </c>
      <c r="G322" s="6">
        <f>E322-F322</f>
        <v/>
      </c>
      <c r="H322" s="8">
        <f>IFERROR((E322-F322)/E322,"")</f>
        <v/>
      </c>
      <c r="I322" s="6" t="n">
        <v>-830296.29</v>
      </c>
    </row>
    <row r="323">
      <c r="A323" t="inlineStr">
        <is>
          <t>Roseville</t>
        </is>
      </c>
      <c r="B323" t="inlineStr">
        <is>
          <t>RSV-FAC</t>
        </is>
      </c>
      <c r="C323" t="inlineStr">
        <is>
          <t>Facilities</t>
        </is>
      </c>
      <c r="D323" s="7" t="n">
        <v>46174</v>
      </c>
      <c r="E323" s="6" t="n">
        <v>1267068.4</v>
      </c>
      <c r="F323" s="6" t="n">
        <v>1455886.58</v>
      </c>
      <c r="G323" s="6">
        <f>E323-F323</f>
        <v/>
      </c>
      <c r="H323" s="8">
        <f>IFERROR((E323-F323)/E323,"")</f>
        <v/>
      </c>
      <c r="I323" s="6" t="n">
        <v>-1019114.47</v>
      </c>
    </row>
    <row r="324">
      <c r="A324" t="inlineStr">
        <is>
          <t>Roseville</t>
        </is>
      </c>
      <c r="B324" t="inlineStr">
        <is>
          <t>RSV-FAC</t>
        </is>
      </c>
      <c r="C324" t="inlineStr">
        <is>
          <t>Facilities</t>
        </is>
      </c>
      <c r="D324" s="7" t="n">
        <v>46204</v>
      </c>
      <c r="E324" s="6" t="n">
        <v>1376603.46</v>
      </c>
      <c r="F324" s="6" t="n">
        <v>1497736.46</v>
      </c>
      <c r="G324" s="6">
        <f>E324-F324</f>
        <v/>
      </c>
      <c r="H324" s="8">
        <f>IFERROR((E324-F324)/E324,"")</f>
        <v/>
      </c>
      <c r="I324" s="6" t="n">
        <v>-1140247.47</v>
      </c>
    </row>
    <row r="325">
      <c r="A325" t="inlineStr">
        <is>
          <t>Roseville</t>
        </is>
      </c>
      <c r="B325" t="inlineStr">
        <is>
          <t>RSV-FAC</t>
        </is>
      </c>
      <c r="C325" t="inlineStr">
        <is>
          <t>Facilities</t>
        </is>
      </c>
      <c r="D325" s="7" t="n">
        <v>46235</v>
      </c>
      <c r="E325" s="6" t="n">
        <v>1377371.71</v>
      </c>
      <c r="F325" s="6" t="n">
        <v>1485753.79</v>
      </c>
      <c r="G325" s="6">
        <f>E325-F325</f>
        <v/>
      </c>
      <c r="H325" s="8">
        <f>IFERROR((E325-F325)/E325,"")</f>
        <v/>
      </c>
      <c r="I325" s="6" t="n">
        <v>-1248629.55</v>
      </c>
    </row>
    <row r="326">
      <c r="A326" t="inlineStr">
        <is>
          <t>Roseville</t>
        </is>
      </c>
      <c r="B326" t="inlineStr">
        <is>
          <t>RSV-QLT</t>
        </is>
      </c>
      <c r="C326" t="inlineStr">
        <is>
          <t>Quality</t>
        </is>
      </c>
      <c r="D326" s="7" t="n">
        <v>45170</v>
      </c>
      <c r="E326" s="6" t="n">
        <v>643841.48</v>
      </c>
      <c r="F326" s="6" t="n">
        <v>652034.03</v>
      </c>
      <c r="G326" s="6">
        <f>E326-F326</f>
        <v/>
      </c>
      <c r="H326" s="8">
        <f>IFERROR((E326-F326)/E326,"")</f>
        <v/>
      </c>
      <c r="I326" s="6" t="n">
        <v>-8192.549999999999</v>
      </c>
    </row>
    <row r="327">
      <c r="A327" t="inlineStr">
        <is>
          <t>Roseville</t>
        </is>
      </c>
      <c r="B327" t="inlineStr">
        <is>
          <t>RSV-QLT</t>
        </is>
      </c>
      <c r="C327" t="inlineStr">
        <is>
          <t>Quality</t>
        </is>
      </c>
      <c r="D327" s="7" t="n">
        <v>45200</v>
      </c>
      <c r="E327" s="6" t="n">
        <v>648742.54</v>
      </c>
      <c r="F327" s="6" t="n">
        <v>645323.42</v>
      </c>
      <c r="G327" s="6">
        <f>E327-F327</f>
        <v/>
      </c>
      <c r="H327" s="8">
        <f>IFERROR((E327-F327)/E327,"")</f>
        <v/>
      </c>
      <c r="I327" s="6" t="n">
        <v>-4773.43</v>
      </c>
    </row>
    <row r="328">
      <c r="A328" t="inlineStr">
        <is>
          <t>Roseville</t>
        </is>
      </c>
      <c r="B328" t="inlineStr">
        <is>
          <t>RSV-QLT</t>
        </is>
      </c>
      <c r="C328" t="inlineStr">
        <is>
          <t>Quality</t>
        </is>
      </c>
      <c r="D328" s="7" t="n">
        <v>45231</v>
      </c>
      <c r="E328" s="6" t="n">
        <v>642124.71</v>
      </c>
      <c r="F328" s="6" t="n">
        <v>653077.89</v>
      </c>
      <c r="G328" s="6">
        <f>E328-F328</f>
        <v/>
      </c>
      <c r="H328" s="8">
        <f>IFERROR((E328-F328)/E328,"")</f>
        <v/>
      </c>
      <c r="I328" s="6" t="n">
        <v>-15726.61</v>
      </c>
    </row>
    <row r="329">
      <c r="A329" t="inlineStr">
        <is>
          <t>Roseville</t>
        </is>
      </c>
      <c r="B329" t="inlineStr">
        <is>
          <t>RSV-QLT</t>
        </is>
      </c>
      <c r="C329" t="inlineStr">
        <is>
          <t>Quality</t>
        </is>
      </c>
      <c r="D329" s="7" t="n">
        <v>45261</v>
      </c>
      <c r="E329" s="6" t="n">
        <v>635208.2</v>
      </c>
      <c r="F329" s="6" t="n">
        <v>647507.84</v>
      </c>
      <c r="G329" s="6">
        <f>E329-F329</f>
        <v/>
      </c>
      <c r="H329" s="8">
        <f>IFERROR((E329-F329)/E329,"")</f>
        <v/>
      </c>
      <c r="I329" s="6" t="n">
        <v>-28026.25</v>
      </c>
    </row>
    <row r="330">
      <c r="A330" t="inlineStr">
        <is>
          <t>Roseville</t>
        </is>
      </c>
      <c r="B330" t="inlineStr">
        <is>
          <t>RSV-QLT</t>
        </is>
      </c>
      <c r="C330" t="inlineStr">
        <is>
          <t>Quality</t>
        </is>
      </c>
      <c r="D330" s="7" t="n">
        <v>45292</v>
      </c>
      <c r="E330" s="6" t="n">
        <v>610859.47</v>
      </c>
      <c r="F330" s="6" t="n">
        <v>617013.47</v>
      </c>
      <c r="G330" s="6">
        <f>E330-F330</f>
        <v/>
      </c>
      <c r="H330" s="8">
        <f>IFERROR((E330-F330)/E330,"")</f>
        <v/>
      </c>
      <c r="I330" s="6" t="n">
        <v>-6154</v>
      </c>
    </row>
    <row r="331">
      <c r="A331" t="inlineStr">
        <is>
          <t>Roseville</t>
        </is>
      </c>
      <c r="B331" t="inlineStr">
        <is>
          <t>RSV-QLT</t>
        </is>
      </c>
      <c r="C331" t="inlineStr">
        <is>
          <t>Quality</t>
        </is>
      </c>
      <c r="D331" s="7" t="n">
        <v>45323</v>
      </c>
      <c r="E331" s="6" t="n">
        <v>602234.74</v>
      </c>
      <c r="F331" s="6" t="n">
        <v>631578.5699999999</v>
      </c>
      <c r="G331" s="6">
        <f>E331-F331</f>
        <v/>
      </c>
      <c r="H331" s="8">
        <f>IFERROR((E331-F331)/E331,"")</f>
        <v/>
      </c>
      <c r="I331" s="6" t="n">
        <v>-35497.83</v>
      </c>
    </row>
    <row r="332">
      <c r="A332" t="inlineStr">
        <is>
          <t>Roseville</t>
        </is>
      </c>
      <c r="B332" t="inlineStr">
        <is>
          <t>RSV-QLT</t>
        </is>
      </c>
      <c r="C332" t="inlineStr">
        <is>
          <t>Quality</t>
        </is>
      </c>
      <c r="D332" s="7" t="n">
        <v>45352</v>
      </c>
      <c r="E332" s="6" t="n">
        <v>588212.52</v>
      </c>
      <c r="F332" s="6" t="n">
        <v>616906.16</v>
      </c>
      <c r="G332" s="6">
        <f>E332-F332</f>
        <v/>
      </c>
      <c r="H332" s="8">
        <f>IFERROR((E332-F332)/E332,"")</f>
        <v/>
      </c>
      <c r="I332" s="6" t="n">
        <v>-64191.47</v>
      </c>
    </row>
    <row r="333">
      <c r="A333" t="inlineStr">
        <is>
          <t>Roseville</t>
        </is>
      </c>
      <c r="B333" t="inlineStr">
        <is>
          <t>RSV-QLT</t>
        </is>
      </c>
      <c r="C333" t="inlineStr">
        <is>
          <t>Quality</t>
        </is>
      </c>
      <c r="D333" s="7" t="n">
        <v>45383</v>
      </c>
      <c r="E333" s="6" t="n">
        <v>585271.51</v>
      </c>
      <c r="F333" s="6" t="n">
        <v>607877.04</v>
      </c>
      <c r="G333" s="6">
        <f>E333-F333</f>
        <v/>
      </c>
      <c r="H333" s="8">
        <f>IFERROR((E333-F333)/E333,"")</f>
        <v/>
      </c>
      <c r="I333" s="6" t="n">
        <v>-86797</v>
      </c>
    </row>
    <row r="334">
      <c r="A334" t="inlineStr">
        <is>
          <t>Roseville</t>
        </is>
      </c>
      <c r="B334" t="inlineStr">
        <is>
          <t>RSV-QLT</t>
        </is>
      </c>
      <c r="C334" t="inlineStr">
        <is>
          <t>Quality</t>
        </is>
      </c>
      <c r="D334" s="7" t="n">
        <v>45413</v>
      </c>
      <c r="E334" s="6" t="n">
        <v>585633.37</v>
      </c>
      <c r="F334" s="6" t="n">
        <v>601773.22</v>
      </c>
      <c r="G334" s="6">
        <f>E334-F334</f>
        <v/>
      </c>
      <c r="H334" s="8">
        <f>IFERROR((E334-F334)/E334,"")</f>
        <v/>
      </c>
      <c r="I334" s="6" t="n">
        <v>-102936.85</v>
      </c>
    </row>
    <row r="335">
      <c r="A335" t="inlineStr">
        <is>
          <t>Roseville</t>
        </is>
      </c>
      <c r="B335" t="inlineStr">
        <is>
          <t>RSV-QLT</t>
        </is>
      </c>
      <c r="C335" t="inlineStr">
        <is>
          <t>Quality</t>
        </is>
      </c>
      <c r="D335" s="7" t="n">
        <v>45444</v>
      </c>
      <c r="E335" s="6" t="n">
        <v>595871.4</v>
      </c>
      <c r="F335" s="6" t="n">
        <v>614160.84</v>
      </c>
      <c r="G335" s="6">
        <f>E335-F335</f>
        <v/>
      </c>
      <c r="H335" s="8">
        <f>IFERROR((E335-F335)/E335,"")</f>
        <v/>
      </c>
      <c r="I335" s="6" t="n">
        <v>-121226.29</v>
      </c>
    </row>
    <row r="336">
      <c r="A336" t="inlineStr">
        <is>
          <t>Roseville</t>
        </is>
      </c>
      <c r="B336" t="inlineStr">
        <is>
          <t>RSV-QLT</t>
        </is>
      </c>
      <c r="C336" t="inlineStr">
        <is>
          <t>Quality</t>
        </is>
      </c>
      <c r="D336" s="7" t="n">
        <v>45474</v>
      </c>
      <c r="E336" s="6" t="n">
        <v>606478.3100000001</v>
      </c>
      <c r="F336" s="6" t="n">
        <v>604651.65</v>
      </c>
      <c r="G336" s="6">
        <f>E336-F336</f>
        <v/>
      </c>
      <c r="H336" s="8">
        <f>IFERROR((E336-F336)/E336,"")</f>
        <v/>
      </c>
      <c r="I336" s="6" t="n">
        <v>-119399.63</v>
      </c>
    </row>
    <row r="337">
      <c r="A337" t="inlineStr">
        <is>
          <t>Roseville</t>
        </is>
      </c>
      <c r="B337" t="inlineStr">
        <is>
          <t>RSV-QLT</t>
        </is>
      </c>
      <c r="C337" t="inlineStr">
        <is>
          <t>Quality</t>
        </is>
      </c>
      <c r="D337" s="7" t="n">
        <v>45505</v>
      </c>
      <c r="E337" s="6" t="n">
        <v>625190.1899999999</v>
      </c>
      <c r="F337" s="6" t="n">
        <v>619163.5600000001</v>
      </c>
      <c r="G337" s="6">
        <f>E337-F337</f>
        <v/>
      </c>
      <c r="H337" s="8">
        <f>IFERROR((E337-F337)/E337,"")</f>
        <v/>
      </c>
      <c r="I337" s="6" t="n">
        <v>-113373</v>
      </c>
    </row>
    <row r="338">
      <c r="A338" t="inlineStr">
        <is>
          <t>Roseville</t>
        </is>
      </c>
      <c r="B338" t="inlineStr">
        <is>
          <t>RSV-QLT</t>
        </is>
      </c>
      <c r="C338" t="inlineStr">
        <is>
          <t>Quality</t>
        </is>
      </c>
      <c r="D338" s="7" t="n">
        <v>45536</v>
      </c>
      <c r="E338" s="6" t="n">
        <v>636457.88</v>
      </c>
      <c r="F338" s="6" t="n">
        <v>615717.16</v>
      </c>
      <c r="G338" s="6">
        <f>E338-F338</f>
        <v/>
      </c>
      <c r="H338" s="8">
        <f>IFERROR((E338-F338)/E338,"")</f>
        <v/>
      </c>
      <c r="I338" s="6" t="n">
        <v>-92632.28</v>
      </c>
    </row>
    <row r="339">
      <c r="A339" t="inlineStr">
        <is>
          <t>Roseville</t>
        </is>
      </c>
      <c r="B339" t="inlineStr">
        <is>
          <t>RSV-QLT</t>
        </is>
      </c>
      <c r="C339" t="inlineStr">
        <is>
          <t>Quality</t>
        </is>
      </c>
      <c r="D339" s="7" t="n">
        <v>45566</v>
      </c>
      <c r="E339" s="6" t="n">
        <v>637409.58</v>
      </c>
      <c r="F339" s="6" t="n">
        <v>612957.92</v>
      </c>
      <c r="G339" s="6">
        <f>E339-F339</f>
        <v/>
      </c>
      <c r="H339" s="8">
        <f>IFERROR((E339-F339)/E339,"")</f>
        <v/>
      </c>
      <c r="I339" s="6" t="n">
        <v>-68180.62</v>
      </c>
    </row>
    <row r="340">
      <c r="A340" t="inlineStr">
        <is>
          <t>Roseville</t>
        </is>
      </c>
      <c r="B340" t="inlineStr">
        <is>
          <t>RSV-QLT</t>
        </is>
      </c>
      <c r="C340" t="inlineStr">
        <is>
          <t>Quality</t>
        </is>
      </c>
      <c r="D340" s="7" t="n">
        <v>45597</v>
      </c>
      <c r="E340" s="6" t="n">
        <v>635012.76</v>
      </c>
      <c r="F340" s="6" t="n">
        <v>648685.85</v>
      </c>
      <c r="G340" s="6">
        <f>E340-F340</f>
        <v/>
      </c>
      <c r="H340" s="8">
        <f>IFERROR((E340-F340)/E340,"")</f>
        <v/>
      </c>
      <c r="I340" s="6" t="n">
        <v>-81853.71000000001</v>
      </c>
    </row>
    <row r="341">
      <c r="A341" t="inlineStr">
        <is>
          <t>Roseville</t>
        </is>
      </c>
      <c r="B341" t="inlineStr">
        <is>
          <t>RSV-QLT</t>
        </is>
      </c>
      <c r="C341" t="inlineStr">
        <is>
          <t>Quality</t>
        </is>
      </c>
      <c r="D341" s="7" t="n">
        <v>45627</v>
      </c>
      <c r="E341" s="6" t="n">
        <v>616805.7</v>
      </c>
      <c r="F341" s="6" t="n">
        <v>647265.6899999999</v>
      </c>
      <c r="G341" s="6">
        <f>E341-F341</f>
        <v/>
      </c>
      <c r="H341" s="8">
        <f>IFERROR((E341-F341)/E341,"")</f>
        <v/>
      </c>
      <c r="I341" s="6" t="n">
        <v>-112313.7</v>
      </c>
    </row>
    <row r="342">
      <c r="A342" t="inlineStr">
        <is>
          <t>Roseville</t>
        </is>
      </c>
      <c r="B342" t="inlineStr">
        <is>
          <t>RSV-QLT</t>
        </is>
      </c>
      <c r="C342" t="inlineStr">
        <is>
          <t>Quality</t>
        </is>
      </c>
      <c r="D342" s="7" t="n">
        <v>45658</v>
      </c>
      <c r="E342" s="6" t="n">
        <v>606098.76</v>
      </c>
      <c r="F342" s="6" t="n">
        <v>625416.99</v>
      </c>
      <c r="G342" s="6">
        <f>E342-F342</f>
        <v/>
      </c>
      <c r="H342" s="8">
        <f>IFERROR((E342-F342)/E342,"")</f>
        <v/>
      </c>
      <c r="I342" s="6" t="n">
        <v>-19318.23</v>
      </c>
    </row>
    <row r="343">
      <c r="A343" t="inlineStr">
        <is>
          <t>Roseville</t>
        </is>
      </c>
      <c r="B343" t="inlineStr">
        <is>
          <t>RSV-QLT</t>
        </is>
      </c>
      <c r="C343" t="inlineStr">
        <is>
          <t>Quality</t>
        </is>
      </c>
      <c r="D343" s="7" t="n">
        <v>45689</v>
      </c>
      <c r="E343" s="6" t="n">
        <v>586257.73</v>
      </c>
      <c r="F343" s="6" t="n">
        <v>623124.22</v>
      </c>
      <c r="G343" s="6">
        <f>E343-F343</f>
        <v/>
      </c>
      <c r="H343" s="8">
        <f>IFERROR((E343-F343)/E343,"")</f>
        <v/>
      </c>
      <c r="I343" s="6" t="n">
        <v>-56184.72</v>
      </c>
    </row>
    <row r="344">
      <c r="A344" t="inlineStr">
        <is>
          <t>Roseville</t>
        </is>
      </c>
      <c r="B344" t="inlineStr">
        <is>
          <t>RSV-QLT</t>
        </is>
      </c>
      <c r="C344" t="inlineStr">
        <is>
          <t>Quality</t>
        </is>
      </c>
      <c r="D344" s="7" t="n">
        <v>45717</v>
      </c>
      <c r="E344" s="6" t="n">
        <v>574456.67</v>
      </c>
      <c r="F344" s="6" t="n">
        <v>618956.4</v>
      </c>
      <c r="G344" s="6">
        <f>E344-F344</f>
        <v/>
      </c>
      <c r="H344" s="8">
        <f>IFERROR((E344-F344)/E344,"")</f>
        <v/>
      </c>
      <c r="I344" s="6" t="n">
        <v>-100684.45</v>
      </c>
    </row>
    <row r="345">
      <c r="A345" t="inlineStr">
        <is>
          <t>Roseville</t>
        </is>
      </c>
      <c r="B345" t="inlineStr">
        <is>
          <t>RSV-QLT</t>
        </is>
      </c>
      <c r="C345" t="inlineStr">
        <is>
          <t>Quality</t>
        </is>
      </c>
      <c r="D345" s="7" t="n">
        <v>45748</v>
      </c>
      <c r="E345" s="6" t="n">
        <v>573841.21</v>
      </c>
      <c r="F345" s="6" t="n">
        <v>624511.98</v>
      </c>
      <c r="G345" s="6">
        <f>E345-F345</f>
        <v/>
      </c>
      <c r="H345" s="8">
        <f>IFERROR((E345-F345)/E345,"")</f>
        <v/>
      </c>
      <c r="I345" s="6" t="n">
        <v>-151355.22</v>
      </c>
    </row>
    <row r="346">
      <c r="A346" t="inlineStr">
        <is>
          <t>Roseville</t>
        </is>
      </c>
      <c r="B346" t="inlineStr">
        <is>
          <t>RSV-QLT</t>
        </is>
      </c>
      <c r="C346" t="inlineStr">
        <is>
          <t>Quality</t>
        </is>
      </c>
      <c r="D346" s="7" t="n">
        <v>45778</v>
      </c>
      <c r="E346" s="6" t="n">
        <v>577247.53</v>
      </c>
      <c r="F346" s="6" t="n">
        <v>631433.85</v>
      </c>
      <c r="G346" s="6">
        <f>E346-F346</f>
        <v/>
      </c>
      <c r="H346" s="8">
        <f>IFERROR((E346-F346)/E346,"")</f>
        <v/>
      </c>
      <c r="I346" s="6" t="n">
        <v>-205541.54</v>
      </c>
    </row>
    <row r="347">
      <c r="A347" t="inlineStr">
        <is>
          <t>Roseville</t>
        </is>
      </c>
      <c r="B347" t="inlineStr">
        <is>
          <t>RSV-QLT</t>
        </is>
      </c>
      <c r="C347" t="inlineStr">
        <is>
          <t>Quality</t>
        </is>
      </c>
      <c r="D347" s="7" t="n">
        <v>45809</v>
      </c>
      <c r="E347" s="6" t="n">
        <v>584592.85</v>
      </c>
      <c r="F347" s="6" t="n">
        <v>643274.86</v>
      </c>
      <c r="G347" s="6">
        <f>E347-F347</f>
        <v/>
      </c>
      <c r="H347" s="8">
        <f>IFERROR((E347-F347)/E347,"")</f>
        <v/>
      </c>
      <c r="I347" s="6" t="n">
        <v>-264223.55</v>
      </c>
    </row>
    <row r="348">
      <c r="A348" t="inlineStr">
        <is>
          <t>Roseville</t>
        </is>
      </c>
      <c r="B348" t="inlineStr">
        <is>
          <t>RSV-QLT</t>
        </is>
      </c>
      <c r="C348" t="inlineStr">
        <is>
          <t>Quality</t>
        </is>
      </c>
      <c r="D348" s="7" t="n">
        <v>45839</v>
      </c>
      <c r="E348" s="6" t="n">
        <v>596130.1</v>
      </c>
      <c r="F348" s="6" t="n">
        <v>641691.41</v>
      </c>
      <c r="G348" s="6">
        <f>E348-F348</f>
        <v/>
      </c>
      <c r="H348" s="8">
        <f>IFERROR((E348-F348)/E348,"")</f>
        <v/>
      </c>
      <c r="I348" s="6" t="n">
        <v>-309784.86</v>
      </c>
    </row>
    <row r="349">
      <c r="A349" t="inlineStr">
        <is>
          <t>Roseville</t>
        </is>
      </c>
      <c r="B349" t="inlineStr">
        <is>
          <t>RSV-QLT</t>
        </is>
      </c>
      <c r="C349" t="inlineStr">
        <is>
          <t>Quality</t>
        </is>
      </c>
      <c r="D349" s="7" t="n">
        <v>45870</v>
      </c>
      <c r="E349" s="6" t="n">
        <v>616417.38</v>
      </c>
      <c r="F349" s="6" t="n">
        <v>626519.88</v>
      </c>
      <c r="G349" s="6">
        <f>E349-F349</f>
        <v/>
      </c>
      <c r="H349" s="8">
        <f>IFERROR((E349-F349)/E349,"")</f>
        <v/>
      </c>
      <c r="I349" s="6" t="n">
        <v>-319887.36</v>
      </c>
    </row>
    <row r="350">
      <c r="A350" t="inlineStr">
        <is>
          <t>Roseville</t>
        </is>
      </c>
      <c r="B350" t="inlineStr">
        <is>
          <t>RSV-QLT</t>
        </is>
      </c>
      <c r="C350" t="inlineStr">
        <is>
          <t>Quality</t>
        </is>
      </c>
      <c r="D350" s="7" t="n">
        <v>45901</v>
      </c>
      <c r="E350" s="6" t="n">
        <v>621994.05</v>
      </c>
      <c r="F350" s="6" t="n">
        <v>638796.21</v>
      </c>
      <c r="G350" s="6">
        <f>E350-F350</f>
        <v/>
      </c>
      <c r="H350" s="8">
        <f>IFERROR((E350-F350)/E350,"")</f>
        <v/>
      </c>
      <c r="I350" s="6" t="n">
        <v>-336689.52</v>
      </c>
    </row>
    <row r="351">
      <c r="A351" t="inlineStr">
        <is>
          <t>Roseville</t>
        </is>
      </c>
      <c r="B351" t="inlineStr">
        <is>
          <t>RSV-QLT</t>
        </is>
      </c>
      <c r="C351" t="inlineStr">
        <is>
          <t>Quality</t>
        </is>
      </c>
      <c r="D351" s="7" t="n">
        <v>45931</v>
      </c>
      <c r="E351" s="6" t="n">
        <v>623715.74</v>
      </c>
      <c r="F351" s="6" t="n">
        <v>643649.35</v>
      </c>
      <c r="G351" s="6">
        <f>E351-F351</f>
        <v/>
      </c>
      <c r="H351" s="8">
        <f>IFERROR((E351-F351)/E351,"")</f>
        <v/>
      </c>
      <c r="I351" s="6" t="n">
        <v>-356623.13</v>
      </c>
    </row>
    <row r="352">
      <c r="A352" t="inlineStr">
        <is>
          <t>Roseville</t>
        </is>
      </c>
      <c r="B352" t="inlineStr">
        <is>
          <t>RSV-QLT</t>
        </is>
      </c>
      <c r="C352" t="inlineStr">
        <is>
          <t>Quality</t>
        </is>
      </c>
      <c r="D352" s="7" t="n">
        <v>45962</v>
      </c>
      <c r="E352" s="6" t="n">
        <v>621459.47</v>
      </c>
      <c r="F352" s="6" t="n">
        <v>639368.78</v>
      </c>
      <c r="G352" s="6">
        <f>E352-F352</f>
        <v/>
      </c>
      <c r="H352" s="8">
        <f>IFERROR((E352-F352)/E352,"")</f>
        <v/>
      </c>
      <c r="I352" s="6" t="n">
        <v>-374532.44</v>
      </c>
    </row>
    <row r="353">
      <c r="A353" t="inlineStr">
        <is>
          <t>Roseville</t>
        </is>
      </c>
      <c r="B353" t="inlineStr">
        <is>
          <t>RSV-QLT</t>
        </is>
      </c>
      <c r="C353" t="inlineStr">
        <is>
          <t>Quality</t>
        </is>
      </c>
      <c r="D353" s="7" t="n">
        <v>45992</v>
      </c>
      <c r="E353" s="6" t="n">
        <v>606205.8</v>
      </c>
      <c r="F353" s="6" t="n">
        <v>634158.34</v>
      </c>
      <c r="G353" s="6">
        <f>E353-F353</f>
        <v/>
      </c>
      <c r="H353" s="8">
        <f>IFERROR((E353-F353)/E353,"")</f>
        <v/>
      </c>
      <c r="I353" s="6" t="n">
        <v>-402484.98</v>
      </c>
    </row>
    <row r="354">
      <c r="A354" t="inlineStr">
        <is>
          <t>Roseville</t>
        </is>
      </c>
      <c r="B354" t="inlineStr">
        <is>
          <t>RSV-QLT</t>
        </is>
      </c>
      <c r="C354" t="inlineStr">
        <is>
          <t>Quality</t>
        </is>
      </c>
      <c r="D354" s="7" t="n">
        <v>46023</v>
      </c>
      <c r="E354" s="6" t="n">
        <v>597930.71</v>
      </c>
      <c r="F354" s="6" t="n">
        <v>631457.9399999999</v>
      </c>
      <c r="G354" s="6">
        <f>E354-F354</f>
        <v/>
      </c>
      <c r="H354" s="8">
        <f>IFERROR((E354-F354)/E354,"")</f>
        <v/>
      </c>
      <c r="I354" s="6" t="n">
        <v>-33527.23</v>
      </c>
    </row>
    <row r="355">
      <c r="A355" t="inlineStr">
        <is>
          <t>Roseville</t>
        </is>
      </c>
      <c r="B355" t="inlineStr">
        <is>
          <t>RSV-QLT</t>
        </is>
      </c>
      <c r="C355" t="inlineStr">
        <is>
          <t>Quality</t>
        </is>
      </c>
      <c r="D355" s="7" t="n">
        <v>46054</v>
      </c>
      <c r="E355" s="6" t="n">
        <v>576592.29</v>
      </c>
      <c r="F355" s="6" t="n">
        <v>597925.47</v>
      </c>
      <c r="G355" s="6">
        <f>E355-F355</f>
        <v/>
      </c>
      <c r="H355" s="8">
        <f>IFERROR((E355-F355)/E355,"")</f>
        <v/>
      </c>
      <c r="I355" s="6" t="n">
        <v>-54860.41</v>
      </c>
    </row>
    <row r="356">
      <c r="A356" t="inlineStr">
        <is>
          <t>Roseville</t>
        </is>
      </c>
      <c r="B356" t="inlineStr">
        <is>
          <t>RSV-QLT</t>
        </is>
      </c>
      <c r="C356" t="inlineStr">
        <is>
          <t>Quality</t>
        </is>
      </c>
      <c r="D356" s="7" t="n">
        <v>46082</v>
      </c>
      <c r="E356" s="6" t="n">
        <v>568490.09</v>
      </c>
      <c r="F356" s="6" t="n">
        <v>605510.8</v>
      </c>
      <c r="G356" s="6">
        <f>E356-F356</f>
        <v/>
      </c>
      <c r="H356" s="8">
        <f>IFERROR((E356-F356)/E356,"")</f>
        <v/>
      </c>
      <c r="I356" s="6" t="n">
        <v>-91881.12</v>
      </c>
    </row>
    <row r="357">
      <c r="A357" t="inlineStr">
        <is>
          <t>Roseville</t>
        </is>
      </c>
      <c r="B357" t="inlineStr">
        <is>
          <t>RSV-QLT</t>
        </is>
      </c>
      <c r="C357" t="inlineStr">
        <is>
          <t>Quality</t>
        </is>
      </c>
      <c r="D357" s="7" t="n">
        <v>46113</v>
      </c>
      <c r="E357" s="6" t="n">
        <v>559288.1800000001</v>
      </c>
      <c r="F357" s="6" t="n">
        <v>582189.08</v>
      </c>
      <c r="G357" s="6">
        <f>E357-F357</f>
        <v/>
      </c>
      <c r="H357" s="8">
        <f>IFERROR((E357-F357)/E357,"")</f>
        <v/>
      </c>
      <c r="I357" s="6" t="n">
        <v>-114782.02</v>
      </c>
    </row>
    <row r="358">
      <c r="A358" t="inlineStr">
        <is>
          <t>Roseville</t>
        </is>
      </c>
      <c r="B358" t="inlineStr">
        <is>
          <t>RSV-QLT</t>
        </is>
      </c>
      <c r="C358" t="inlineStr">
        <is>
          <t>Quality</t>
        </is>
      </c>
      <c r="D358" s="7" t="n">
        <v>46143</v>
      </c>
      <c r="E358" s="6" t="n">
        <v>564480.16</v>
      </c>
      <c r="F358" s="6" t="n">
        <v>603511.7</v>
      </c>
      <c r="G358" s="6">
        <f>E358-F358</f>
        <v/>
      </c>
      <c r="H358" s="8">
        <f>IFERROR((E358-F358)/E358,"")</f>
        <v/>
      </c>
      <c r="I358" s="6" t="n">
        <v>-153813.56</v>
      </c>
    </row>
    <row r="359">
      <c r="A359" t="inlineStr">
        <is>
          <t>Roseville</t>
        </is>
      </c>
      <c r="B359" t="inlineStr">
        <is>
          <t>RSV-QLT</t>
        </is>
      </c>
      <c r="C359" t="inlineStr">
        <is>
          <t>Quality</t>
        </is>
      </c>
      <c r="D359" s="7" t="n">
        <v>46174</v>
      </c>
      <c r="E359" s="6" t="n">
        <v>577746.8</v>
      </c>
      <c r="F359" s="6" t="n">
        <v>590407.96</v>
      </c>
      <c r="G359" s="6">
        <f>E359-F359</f>
        <v/>
      </c>
      <c r="H359" s="8">
        <f>IFERROR((E359-F359)/E359,"")</f>
        <v/>
      </c>
      <c r="I359" s="6" t="n">
        <v>-166474.72</v>
      </c>
    </row>
    <row r="360">
      <c r="A360" t="inlineStr">
        <is>
          <t>Roseville</t>
        </is>
      </c>
      <c r="B360" t="inlineStr">
        <is>
          <t>RSV-QLT</t>
        </is>
      </c>
      <c r="C360" t="inlineStr">
        <is>
          <t>Quality</t>
        </is>
      </c>
      <c r="D360" s="7" t="n">
        <v>46204</v>
      </c>
      <c r="E360" s="6" t="n">
        <v>585349.35</v>
      </c>
      <c r="F360" s="6" t="n">
        <v>590016.46</v>
      </c>
      <c r="G360" s="6">
        <f>E360-F360</f>
        <v/>
      </c>
      <c r="H360" s="8">
        <f>IFERROR((E360-F360)/E360,"")</f>
        <v/>
      </c>
      <c r="I360" s="6" t="n">
        <v>-171141.83</v>
      </c>
    </row>
    <row r="361">
      <c r="A361" t="inlineStr">
        <is>
          <t>Roseville</t>
        </is>
      </c>
      <c r="B361" t="inlineStr">
        <is>
          <t>RSV-QLT</t>
        </is>
      </c>
      <c r="C361" t="inlineStr">
        <is>
          <t>Quality</t>
        </is>
      </c>
      <c r="D361" s="7" t="n">
        <v>46235</v>
      </c>
      <c r="E361" s="6" t="n">
        <v>600242.72</v>
      </c>
      <c r="F361" s="6" t="n">
        <v>617250.96</v>
      </c>
      <c r="G361" s="6">
        <f>E361-F361</f>
        <v/>
      </c>
      <c r="H361" s="8">
        <f>IFERROR((E361-F361)/E361,"")</f>
        <v/>
      </c>
      <c r="I361" s="6" t="n">
        <v>-188150.07</v>
      </c>
    </row>
    <row r="362">
      <c r="A362" t="inlineStr">
        <is>
          <t>Roseville</t>
        </is>
      </c>
      <c r="B362" t="inlineStr">
        <is>
          <t>RSV-SCM</t>
        </is>
      </c>
      <c r="C362" t="inlineStr">
        <is>
          <t>Supply Chain</t>
        </is>
      </c>
      <c r="D362" s="7" t="n">
        <v>45170</v>
      </c>
      <c r="E362" s="6" t="n">
        <v>656257.4300000001</v>
      </c>
      <c r="F362" s="6" t="n">
        <v>717435.26</v>
      </c>
      <c r="G362" s="6">
        <f>E362-F362</f>
        <v/>
      </c>
      <c r="H362" s="8">
        <f>IFERROR((E362-F362)/E362,"")</f>
        <v/>
      </c>
      <c r="I362" s="6" t="n">
        <v>-61177.83</v>
      </c>
    </row>
    <row r="363">
      <c r="A363" t="inlineStr">
        <is>
          <t>Roseville</t>
        </is>
      </c>
      <c r="B363" t="inlineStr">
        <is>
          <t>RSV-SCM</t>
        </is>
      </c>
      <c r="C363" t="inlineStr">
        <is>
          <t>Supply Chain</t>
        </is>
      </c>
      <c r="D363" s="7" t="n">
        <v>45200</v>
      </c>
      <c r="E363" s="6" t="n">
        <v>667296.63</v>
      </c>
      <c r="F363" s="6" t="n">
        <v>752575.52</v>
      </c>
      <c r="G363" s="6">
        <f>E363-F363</f>
        <v/>
      </c>
      <c r="H363" s="8">
        <f>IFERROR((E363-F363)/E363,"")</f>
        <v/>
      </c>
      <c r="I363" s="6" t="n">
        <v>-146456.72</v>
      </c>
    </row>
    <row r="364">
      <c r="A364" t="inlineStr">
        <is>
          <t>Roseville</t>
        </is>
      </c>
      <c r="B364" t="inlineStr">
        <is>
          <t>RSV-SCM</t>
        </is>
      </c>
      <c r="C364" t="inlineStr">
        <is>
          <t>Supply Chain</t>
        </is>
      </c>
      <c r="D364" s="7" t="n">
        <v>45231</v>
      </c>
      <c r="E364" s="6" t="n">
        <v>649040.26</v>
      </c>
      <c r="F364" s="6" t="n">
        <v>727770.53</v>
      </c>
      <c r="G364" s="6">
        <f>E364-F364</f>
        <v/>
      </c>
      <c r="H364" s="8">
        <f>IFERROR((E364-F364)/E364,"")</f>
        <v/>
      </c>
      <c r="I364" s="6" t="n">
        <v>-225186.99</v>
      </c>
    </row>
    <row r="365">
      <c r="A365" t="inlineStr">
        <is>
          <t>Roseville</t>
        </is>
      </c>
      <c r="B365" t="inlineStr">
        <is>
          <t>RSV-SCM</t>
        </is>
      </c>
      <c r="C365" t="inlineStr">
        <is>
          <t>Supply Chain</t>
        </is>
      </c>
      <c r="D365" s="7" t="n">
        <v>45261</v>
      </c>
      <c r="E365" s="6" t="n">
        <v>646731.75</v>
      </c>
      <c r="F365" s="6" t="n">
        <v>752355.89</v>
      </c>
      <c r="G365" s="6">
        <f>E365-F365</f>
        <v/>
      </c>
      <c r="H365" s="8">
        <f>IFERROR((E365-F365)/E365,"")</f>
        <v/>
      </c>
      <c r="I365" s="6" t="n">
        <v>-330811.13</v>
      </c>
    </row>
    <row r="366">
      <c r="A366" t="inlineStr">
        <is>
          <t>Roseville</t>
        </is>
      </c>
      <c r="B366" t="inlineStr">
        <is>
          <t>RSV-SCM</t>
        </is>
      </c>
      <c r="C366" t="inlineStr">
        <is>
          <t>Supply Chain</t>
        </is>
      </c>
      <c r="D366" s="7" t="n">
        <v>45292</v>
      </c>
      <c r="E366" s="6" t="n">
        <v>623395.61</v>
      </c>
      <c r="F366" s="6" t="n">
        <v>731359.7</v>
      </c>
      <c r="G366" s="6">
        <f>E366-F366</f>
        <v/>
      </c>
      <c r="H366" s="8">
        <f>IFERROR((E366-F366)/E366,"")</f>
        <v/>
      </c>
      <c r="I366" s="6" t="n">
        <v>-107964.09</v>
      </c>
    </row>
    <row r="367">
      <c r="A367" t="inlineStr">
        <is>
          <t>Roseville</t>
        </is>
      </c>
      <c r="B367" t="inlineStr">
        <is>
          <t>RSV-SCM</t>
        </is>
      </c>
      <c r="C367" t="inlineStr">
        <is>
          <t>Supply Chain</t>
        </is>
      </c>
      <c r="D367" s="7" t="n">
        <v>45323</v>
      </c>
      <c r="E367" s="6" t="n">
        <v>615437.5</v>
      </c>
      <c r="F367" s="6" t="n">
        <v>731450.91</v>
      </c>
      <c r="G367" s="6">
        <f>E367-F367</f>
        <v/>
      </c>
      <c r="H367" s="8">
        <f>IFERROR((E367-F367)/E367,"")</f>
        <v/>
      </c>
      <c r="I367" s="6" t="n">
        <v>-223977.5</v>
      </c>
    </row>
    <row r="368">
      <c r="A368" t="inlineStr">
        <is>
          <t>Roseville</t>
        </is>
      </c>
      <c r="B368" t="inlineStr">
        <is>
          <t>RSV-SCM</t>
        </is>
      </c>
      <c r="C368" t="inlineStr">
        <is>
          <t>Supply Chain</t>
        </is>
      </c>
      <c r="D368" s="7" t="n">
        <v>45352</v>
      </c>
      <c r="E368" s="6" t="n">
        <v>602005.47</v>
      </c>
      <c r="F368" s="6" t="n">
        <v>720514.55</v>
      </c>
      <c r="G368" s="6">
        <f>E368-F368</f>
        <v/>
      </c>
      <c r="H368" s="8">
        <f>IFERROR((E368-F368)/E368,"")</f>
        <v/>
      </c>
      <c r="I368" s="6" t="n">
        <v>-342486.58</v>
      </c>
    </row>
    <row r="369">
      <c r="A369" t="inlineStr">
        <is>
          <t>Roseville</t>
        </is>
      </c>
      <c r="B369" t="inlineStr">
        <is>
          <t>RSV-SCM</t>
        </is>
      </c>
      <c r="C369" t="inlineStr">
        <is>
          <t>Supply Chain</t>
        </is>
      </c>
      <c r="D369" s="7" t="n">
        <v>45383</v>
      </c>
      <c r="E369" s="6" t="n">
        <v>597369.0600000001</v>
      </c>
      <c r="F369" s="6" t="n">
        <v>729902.3</v>
      </c>
      <c r="G369" s="6">
        <f>E369-F369</f>
        <v/>
      </c>
      <c r="H369" s="8">
        <f>IFERROR((E369-F369)/E369,"")</f>
        <v/>
      </c>
      <c r="I369" s="6" t="n">
        <v>-475019.82</v>
      </c>
    </row>
    <row r="370">
      <c r="A370" t="inlineStr">
        <is>
          <t>Roseville</t>
        </is>
      </c>
      <c r="B370" t="inlineStr">
        <is>
          <t>RSV-SCM</t>
        </is>
      </c>
      <c r="C370" t="inlineStr">
        <is>
          <t>Supply Chain</t>
        </is>
      </c>
      <c r="D370" s="7" t="n">
        <v>45413</v>
      </c>
      <c r="E370" s="6" t="n">
        <v>594373.29</v>
      </c>
      <c r="F370" s="6" t="n">
        <v>721128.74</v>
      </c>
      <c r="G370" s="6">
        <f>E370-F370</f>
        <v/>
      </c>
      <c r="H370" s="8">
        <f>IFERROR((E370-F370)/E370,"")</f>
        <v/>
      </c>
      <c r="I370" s="6" t="n">
        <v>-601775.27</v>
      </c>
    </row>
    <row r="371">
      <c r="A371" t="inlineStr">
        <is>
          <t>Roseville</t>
        </is>
      </c>
      <c r="B371" t="inlineStr">
        <is>
          <t>RSV-SCM</t>
        </is>
      </c>
      <c r="C371" t="inlineStr">
        <is>
          <t>Supply Chain</t>
        </is>
      </c>
      <c r="D371" s="7" t="n">
        <v>45444</v>
      </c>
      <c r="E371" s="6" t="n">
        <v>603841.39</v>
      </c>
      <c r="F371" s="6" t="n">
        <v>729853.76</v>
      </c>
      <c r="G371" s="6">
        <f>E371-F371</f>
        <v/>
      </c>
      <c r="H371" s="8">
        <f>IFERROR((E371-F371)/E371,"")</f>
        <v/>
      </c>
      <c r="I371" s="6" t="n">
        <v>-727787.64</v>
      </c>
    </row>
    <row r="372">
      <c r="A372" t="inlineStr">
        <is>
          <t>Roseville</t>
        </is>
      </c>
      <c r="B372" t="inlineStr">
        <is>
          <t>RSV-SCM</t>
        </is>
      </c>
      <c r="C372" t="inlineStr">
        <is>
          <t>Supply Chain</t>
        </is>
      </c>
      <c r="D372" s="7" t="n">
        <v>45474</v>
      </c>
      <c r="E372" s="6" t="n">
        <v>626027.48</v>
      </c>
      <c r="F372" s="6" t="n">
        <v>745582.2</v>
      </c>
      <c r="G372" s="6">
        <f>E372-F372</f>
        <v/>
      </c>
      <c r="H372" s="8">
        <f>IFERROR((E372-F372)/E372,"")</f>
        <v/>
      </c>
      <c r="I372" s="6" t="n">
        <v>-847342.36</v>
      </c>
    </row>
    <row r="373">
      <c r="A373" t="inlineStr">
        <is>
          <t>Roseville</t>
        </is>
      </c>
      <c r="B373" t="inlineStr">
        <is>
          <t>RSV-SCM</t>
        </is>
      </c>
      <c r="C373" t="inlineStr">
        <is>
          <t>Supply Chain</t>
        </is>
      </c>
      <c r="D373" s="7" t="n">
        <v>45505</v>
      </c>
      <c r="E373" s="6" t="n">
        <v>641872.16</v>
      </c>
      <c r="F373" s="6" t="n">
        <v>769558.85</v>
      </c>
      <c r="G373" s="6">
        <f>E373-F373</f>
        <v/>
      </c>
      <c r="H373" s="8">
        <f>IFERROR((E373-F373)/E373,"")</f>
        <v/>
      </c>
      <c r="I373" s="6" t="n">
        <v>-975029.05</v>
      </c>
    </row>
    <row r="374">
      <c r="A374" t="inlineStr">
        <is>
          <t>Roseville</t>
        </is>
      </c>
      <c r="B374" t="inlineStr">
        <is>
          <t>RSV-SCM</t>
        </is>
      </c>
      <c r="C374" t="inlineStr">
        <is>
          <t>Supply Chain</t>
        </is>
      </c>
      <c r="D374" s="7" t="n">
        <v>45536</v>
      </c>
      <c r="E374" s="6" t="n">
        <v>641463.6800000001</v>
      </c>
      <c r="F374" s="6" t="n">
        <v>775464.75</v>
      </c>
      <c r="G374" s="6">
        <f>E374-F374</f>
        <v/>
      </c>
      <c r="H374" s="8">
        <f>IFERROR((E374-F374)/E374,"")</f>
        <v/>
      </c>
      <c r="I374" s="6" t="n">
        <v>-1109030.12</v>
      </c>
    </row>
    <row r="375">
      <c r="A375" t="inlineStr">
        <is>
          <t>Roseville</t>
        </is>
      </c>
      <c r="B375" t="inlineStr">
        <is>
          <t>RSV-SCM</t>
        </is>
      </c>
      <c r="C375" t="inlineStr">
        <is>
          <t>Supply Chain</t>
        </is>
      </c>
      <c r="D375" s="7" t="n">
        <v>45566</v>
      </c>
      <c r="E375" s="6" t="n">
        <v>650475.55</v>
      </c>
      <c r="F375" s="6" t="n">
        <v>797079.77</v>
      </c>
      <c r="G375" s="6">
        <f>E375-F375</f>
        <v/>
      </c>
      <c r="H375" s="8">
        <f>IFERROR((E375-F375)/E375,"")</f>
        <v/>
      </c>
      <c r="I375" s="6" t="n">
        <v>-1255634.34</v>
      </c>
    </row>
    <row r="376">
      <c r="A376" t="inlineStr">
        <is>
          <t>Roseville</t>
        </is>
      </c>
      <c r="B376" t="inlineStr">
        <is>
          <t>RSV-SCM</t>
        </is>
      </c>
      <c r="C376" t="inlineStr">
        <is>
          <t>Supply Chain</t>
        </is>
      </c>
      <c r="D376" s="7" t="n">
        <v>45597</v>
      </c>
      <c r="E376" s="6" t="n">
        <v>646223.64</v>
      </c>
      <c r="F376" s="6" t="n">
        <v>763001.08</v>
      </c>
      <c r="G376" s="6">
        <f>E376-F376</f>
        <v/>
      </c>
      <c r="H376" s="8">
        <f>IFERROR((E376-F376)/E376,"")</f>
        <v/>
      </c>
      <c r="I376" s="6" t="n">
        <v>-1372411.78</v>
      </c>
    </row>
    <row r="377">
      <c r="A377" t="inlineStr">
        <is>
          <t>Roseville</t>
        </is>
      </c>
      <c r="B377" t="inlineStr">
        <is>
          <t>RSV-SCM</t>
        </is>
      </c>
      <c r="C377" t="inlineStr">
        <is>
          <t>Supply Chain</t>
        </is>
      </c>
      <c r="D377" s="7" t="n">
        <v>45627</v>
      </c>
      <c r="E377" s="6" t="n">
        <v>631235.55</v>
      </c>
      <c r="F377" s="6" t="n">
        <v>762275.33</v>
      </c>
      <c r="G377" s="6">
        <f>E377-F377</f>
        <v/>
      </c>
      <c r="H377" s="8">
        <f>IFERROR((E377-F377)/E377,"")</f>
        <v/>
      </c>
      <c r="I377" s="6" t="n">
        <v>-1503451.56</v>
      </c>
    </row>
    <row r="378">
      <c r="A378" t="inlineStr">
        <is>
          <t>Roseville</t>
        </is>
      </c>
      <c r="B378" t="inlineStr">
        <is>
          <t>RSV-SCM</t>
        </is>
      </c>
      <c r="C378" t="inlineStr">
        <is>
          <t>Supply Chain</t>
        </is>
      </c>
      <c r="D378" s="7" t="n">
        <v>45658</v>
      </c>
      <c r="E378" s="6" t="n">
        <v>618900.76</v>
      </c>
      <c r="F378" s="6" t="n">
        <v>747210.98</v>
      </c>
      <c r="G378" s="6">
        <f>E378-F378</f>
        <v/>
      </c>
      <c r="H378" s="8">
        <f>IFERROR((E378-F378)/E378,"")</f>
        <v/>
      </c>
      <c r="I378" s="6" t="n">
        <v>-128310.22</v>
      </c>
    </row>
    <row r="379">
      <c r="A379" t="inlineStr">
        <is>
          <t>Roseville</t>
        </is>
      </c>
      <c r="B379" t="inlineStr">
        <is>
          <t>RSV-SCM</t>
        </is>
      </c>
      <c r="C379" t="inlineStr">
        <is>
          <t>Supply Chain</t>
        </is>
      </c>
      <c r="D379" s="7" t="n">
        <v>45689</v>
      </c>
      <c r="E379" s="6" t="n">
        <v>597501.21</v>
      </c>
      <c r="F379" s="6" t="n">
        <v>745083.53</v>
      </c>
      <c r="G379" s="6">
        <f>E379-F379</f>
        <v/>
      </c>
      <c r="H379" s="8">
        <f>IFERROR((E379-F379)/E379,"")</f>
        <v/>
      </c>
      <c r="I379" s="6" t="n">
        <v>-275892.54</v>
      </c>
    </row>
    <row r="380">
      <c r="A380" t="inlineStr">
        <is>
          <t>Roseville</t>
        </is>
      </c>
      <c r="B380" t="inlineStr">
        <is>
          <t>RSV-SCM</t>
        </is>
      </c>
      <c r="C380" t="inlineStr">
        <is>
          <t>Supply Chain</t>
        </is>
      </c>
      <c r="D380" s="7" t="n">
        <v>45717</v>
      </c>
      <c r="E380" s="6" t="n">
        <v>589576.85</v>
      </c>
      <c r="F380" s="6" t="n">
        <v>747187.55</v>
      </c>
      <c r="G380" s="6">
        <f>E380-F380</f>
        <v/>
      </c>
      <c r="H380" s="8">
        <f>IFERROR((E380-F380)/E380,"")</f>
        <v/>
      </c>
      <c r="I380" s="6" t="n">
        <v>-433503.24</v>
      </c>
    </row>
    <row r="381">
      <c r="A381" t="inlineStr">
        <is>
          <t>Roseville</t>
        </is>
      </c>
      <c r="B381" t="inlineStr">
        <is>
          <t>RSV-SCM</t>
        </is>
      </c>
      <c r="C381" t="inlineStr">
        <is>
          <t>Supply Chain</t>
        </is>
      </c>
      <c r="D381" s="7" t="n">
        <v>45748</v>
      </c>
      <c r="E381" s="6" t="n">
        <v>588117.34</v>
      </c>
      <c r="F381" s="6" t="n">
        <v>741228.0699999999</v>
      </c>
      <c r="G381" s="6">
        <f>E381-F381</f>
        <v/>
      </c>
      <c r="H381" s="8">
        <f>IFERROR((E381-F381)/E381,"")</f>
        <v/>
      </c>
      <c r="I381" s="6" t="n">
        <v>-586613.97</v>
      </c>
    </row>
    <row r="382">
      <c r="A382" t="inlineStr">
        <is>
          <t>Roseville</t>
        </is>
      </c>
      <c r="B382" t="inlineStr">
        <is>
          <t>RSV-SCM</t>
        </is>
      </c>
      <c r="C382" t="inlineStr">
        <is>
          <t>Supply Chain</t>
        </is>
      </c>
      <c r="D382" s="7" t="n">
        <v>45778</v>
      </c>
      <c r="E382" s="6" t="n">
        <v>586573.62</v>
      </c>
      <c r="F382" s="6" t="n">
        <v>730784.61</v>
      </c>
      <c r="G382" s="6">
        <f>E382-F382</f>
        <v/>
      </c>
      <c r="H382" s="8">
        <f>IFERROR((E382-F382)/E382,"")</f>
        <v/>
      </c>
      <c r="I382" s="6" t="n">
        <v>-730824.96</v>
      </c>
    </row>
    <row r="383">
      <c r="A383" t="inlineStr">
        <is>
          <t>Roseville</t>
        </is>
      </c>
      <c r="B383" t="inlineStr">
        <is>
          <t>RSV-SCM</t>
        </is>
      </c>
      <c r="C383" t="inlineStr">
        <is>
          <t>Supply Chain</t>
        </is>
      </c>
      <c r="D383" s="7" t="n">
        <v>45809</v>
      </c>
      <c r="E383" s="6" t="n">
        <v>595260.83</v>
      </c>
      <c r="F383" s="6" t="n">
        <v>717328.64</v>
      </c>
      <c r="G383" s="6">
        <f>E383-F383</f>
        <v/>
      </c>
      <c r="H383" s="8">
        <f>IFERROR((E383-F383)/E383,"")</f>
        <v/>
      </c>
      <c r="I383" s="6" t="n">
        <v>-852892.77</v>
      </c>
    </row>
    <row r="384">
      <c r="A384" t="inlineStr">
        <is>
          <t>Roseville</t>
        </is>
      </c>
      <c r="B384" t="inlineStr">
        <is>
          <t>RSV-SCM</t>
        </is>
      </c>
      <c r="C384" t="inlineStr">
        <is>
          <t>Supply Chain</t>
        </is>
      </c>
      <c r="D384" s="7" t="n">
        <v>45839</v>
      </c>
      <c r="E384" s="6" t="n">
        <v>612355.86</v>
      </c>
      <c r="F384" s="6" t="n">
        <v>740294.04</v>
      </c>
      <c r="G384" s="6">
        <f>E384-F384</f>
        <v/>
      </c>
      <c r="H384" s="8">
        <f>IFERROR((E384-F384)/E384,"")</f>
        <v/>
      </c>
      <c r="I384" s="6" t="n">
        <v>-980830.95</v>
      </c>
    </row>
    <row r="385">
      <c r="A385" t="inlineStr">
        <is>
          <t>Roseville</t>
        </is>
      </c>
      <c r="B385" t="inlineStr">
        <is>
          <t>RSV-SCM</t>
        </is>
      </c>
      <c r="C385" t="inlineStr">
        <is>
          <t>Supply Chain</t>
        </is>
      </c>
      <c r="D385" s="7" t="n">
        <v>45870</v>
      </c>
      <c r="E385" s="6" t="n">
        <v>621601.96</v>
      </c>
      <c r="F385" s="6" t="n">
        <v>730366.8199999999</v>
      </c>
      <c r="G385" s="6">
        <f>E385-F385</f>
        <v/>
      </c>
      <c r="H385" s="8">
        <f>IFERROR((E385-F385)/E385,"")</f>
        <v/>
      </c>
      <c r="I385" s="6" t="n">
        <v>-1089595.81</v>
      </c>
    </row>
    <row r="386">
      <c r="A386" t="inlineStr">
        <is>
          <t>Roseville</t>
        </is>
      </c>
      <c r="B386" t="inlineStr">
        <is>
          <t>RSV-SCM</t>
        </is>
      </c>
      <c r="C386" t="inlineStr">
        <is>
          <t>Supply Chain</t>
        </is>
      </c>
      <c r="D386" s="7" t="n">
        <v>45901</v>
      </c>
      <c r="E386" s="6" t="n">
        <v>631265.89</v>
      </c>
      <c r="F386" s="6" t="n">
        <v>764828.35</v>
      </c>
      <c r="G386" s="6">
        <f>E386-F386</f>
        <v/>
      </c>
      <c r="H386" s="8">
        <f>IFERROR((E386-F386)/E386,"")</f>
        <v/>
      </c>
      <c r="I386" s="6" t="n">
        <v>-1223158.27</v>
      </c>
    </row>
    <row r="387">
      <c r="A387" t="inlineStr">
        <is>
          <t>Roseville</t>
        </is>
      </c>
      <c r="B387" t="inlineStr">
        <is>
          <t>RSV-SCM</t>
        </is>
      </c>
      <c r="C387" t="inlineStr">
        <is>
          <t>Supply Chain</t>
        </is>
      </c>
      <c r="D387" s="7" t="n">
        <v>45931</v>
      </c>
      <c r="E387" s="6" t="n">
        <v>641492.55</v>
      </c>
      <c r="F387" s="6" t="n">
        <v>736374.5</v>
      </c>
      <c r="G387" s="6">
        <f>E387-F387</f>
        <v/>
      </c>
      <c r="H387" s="8">
        <f>IFERROR((E387-F387)/E387,"")</f>
        <v/>
      </c>
      <c r="I387" s="6" t="n">
        <v>-1318040.22</v>
      </c>
    </row>
    <row r="388">
      <c r="A388" t="inlineStr">
        <is>
          <t>Roseville</t>
        </is>
      </c>
      <c r="B388" t="inlineStr">
        <is>
          <t>RSV-SCM</t>
        </is>
      </c>
      <c r="C388" t="inlineStr">
        <is>
          <t>Supply Chain</t>
        </is>
      </c>
      <c r="D388" s="7" t="n">
        <v>45962</v>
      </c>
      <c r="E388" s="6" t="n">
        <v>635516.98</v>
      </c>
      <c r="F388" s="6" t="n">
        <v>740161.23</v>
      </c>
      <c r="G388" s="6">
        <f>E388-F388</f>
        <v/>
      </c>
      <c r="H388" s="8">
        <f>IFERROR((E388-F388)/E388,"")</f>
        <v/>
      </c>
      <c r="I388" s="6" t="n">
        <v>-1422684.47</v>
      </c>
    </row>
    <row r="389">
      <c r="A389" t="inlineStr">
        <is>
          <t>Roseville</t>
        </is>
      </c>
      <c r="B389" t="inlineStr">
        <is>
          <t>RSV-SCM</t>
        </is>
      </c>
      <c r="C389" t="inlineStr">
        <is>
          <t>Supply Chain</t>
        </is>
      </c>
      <c r="D389" s="7" t="n">
        <v>45992</v>
      </c>
      <c r="E389" s="6" t="n">
        <v>616395.8</v>
      </c>
      <c r="F389" s="6" t="n">
        <v>718194.77</v>
      </c>
      <c r="G389" s="6">
        <f>E389-F389</f>
        <v/>
      </c>
      <c r="H389" s="8">
        <f>IFERROR((E389-F389)/E389,"")</f>
        <v/>
      </c>
      <c r="I389" s="6" t="n">
        <v>-1524483.44</v>
      </c>
    </row>
    <row r="390">
      <c r="A390" t="inlineStr">
        <is>
          <t>Roseville</t>
        </is>
      </c>
      <c r="B390" t="inlineStr">
        <is>
          <t>RSV-SCM</t>
        </is>
      </c>
      <c r="C390" t="inlineStr">
        <is>
          <t>Supply Chain</t>
        </is>
      </c>
      <c r="D390" s="7" t="n">
        <v>46023</v>
      </c>
      <c r="E390" s="6" t="n">
        <v>611424.13</v>
      </c>
      <c r="F390" s="6" t="n">
        <v>731139.41</v>
      </c>
      <c r="G390" s="6">
        <f>E390-F390</f>
        <v/>
      </c>
      <c r="H390" s="8">
        <f>IFERROR((E390-F390)/E390,"")</f>
        <v/>
      </c>
      <c r="I390" s="6" t="n">
        <v>-119715.28</v>
      </c>
    </row>
    <row r="391">
      <c r="A391" t="inlineStr">
        <is>
          <t>Roseville</t>
        </is>
      </c>
      <c r="B391" t="inlineStr">
        <is>
          <t>RSV-SCM</t>
        </is>
      </c>
      <c r="C391" t="inlineStr">
        <is>
          <t>Supply Chain</t>
        </is>
      </c>
      <c r="D391" s="7" t="n">
        <v>46054</v>
      </c>
      <c r="E391" s="6" t="n">
        <v>585460.77</v>
      </c>
      <c r="F391" s="6" t="n">
        <v>680057.73</v>
      </c>
      <c r="G391" s="6">
        <f>E391-F391</f>
        <v/>
      </c>
      <c r="H391" s="8">
        <f>IFERROR((E391-F391)/E391,"")</f>
        <v/>
      </c>
      <c r="I391" s="6" t="n">
        <v>-214312.24</v>
      </c>
    </row>
    <row r="392">
      <c r="A392" t="inlineStr">
        <is>
          <t>Roseville</t>
        </is>
      </c>
      <c r="B392" t="inlineStr">
        <is>
          <t>RSV-SCM</t>
        </is>
      </c>
      <c r="C392" t="inlineStr">
        <is>
          <t>Supply Chain</t>
        </is>
      </c>
      <c r="D392" s="7" t="n">
        <v>46082</v>
      </c>
      <c r="E392" s="6" t="n">
        <v>575153.14</v>
      </c>
      <c r="F392" s="6" t="n">
        <v>677015.72</v>
      </c>
      <c r="G392" s="6">
        <f>E392-F392</f>
        <v/>
      </c>
      <c r="H392" s="8">
        <f>IFERROR((E392-F392)/E392,"")</f>
        <v/>
      </c>
      <c r="I392" s="6" t="n">
        <v>-316174.82</v>
      </c>
    </row>
    <row r="393">
      <c r="A393" t="inlineStr">
        <is>
          <t>Roseville</t>
        </is>
      </c>
      <c r="B393" t="inlineStr">
        <is>
          <t>RSV-SCM</t>
        </is>
      </c>
      <c r="C393" t="inlineStr">
        <is>
          <t>Supply Chain</t>
        </is>
      </c>
      <c r="D393" s="7" t="n">
        <v>46113</v>
      </c>
      <c r="E393" s="6" t="n">
        <v>578613.29</v>
      </c>
      <c r="F393" s="6" t="n">
        <v>689223.62</v>
      </c>
      <c r="G393" s="6">
        <f>E393-F393</f>
        <v/>
      </c>
      <c r="H393" s="8">
        <f>IFERROR((E393-F393)/E393,"")</f>
        <v/>
      </c>
      <c r="I393" s="6" t="n">
        <v>-426785.15</v>
      </c>
    </row>
    <row r="394">
      <c r="A394" t="inlineStr">
        <is>
          <t>Roseville</t>
        </is>
      </c>
      <c r="B394" t="inlineStr">
        <is>
          <t>RSV-SCM</t>
        </is>
      </c>
      <c r="C394" t="inlineStr">
        <is>
          <t>Supply Chain</t>
        </is>
      </c>
      <c r="D394" s="7" t="n">
        <v>46143</v>
      </c>
      <c r="E394" s="6" t="n">
        <v>570832.5</v>
      </c>
      <c r="F394" s="6" t="n">
        <v>700477.98</v>
      </c>
      <c r="G394" s="6">
        <f>E394-F394</f>
        <v/>
      </c>
      <c r="H394" s="8">
        <f>IFERROR((E394-F394)/E394,"")</f>
        <v/>
      </c>
      <c r="I394" s="6" t="n">
        <v>-556430.63</v>
      </c>
    </row>
    <row r="395">
      <c r="A395" t="inlineStr">
        <is>
          <t>Roseville</t>
        </is>
      </c>
      <c r="B395" t="inlineStr">
        <is>
          <t>RSV-SCM</t>
        </is>
      </c>
      <c r="C395" t="inlineStr">
        <is>
          <t>Supply Chain</t>
        </is>
      </c>
      <c r="D395" s="7" t="n">
        <v>46174</v>
      </c>
      <c r="E395" s="6" t="n">
        <v>582110.61</v>
      </c>
      <c r="F395" s="6" t="n">
        <v>689794.1800000001</v>
      </c>
      <c r="G395" s="6">
        <f>E395-F395</f>
        <v/>
      </c>
      <c r="H395" s="8">
        <f>IFERROR((E395-F395)/E395,"")</f>
        <v/>
      </c>
      <c r="I395" s="6" t="n">
        <v>-664114.2</v>
      </c>
    </row>
    <row r="396">
      <c r="A396" t="inlineStr">
        <is>
          <t>Roseville</t>
        </is>
      </c>
      <c r="B396" t="inlineStr">
        <is>
          <t>RSV-SCM</t>
        </is>
      </c>
      <c r="C396" t="inlineStr">
        <is>
          <t>Supply Chain</t>
        </is>
      </c>
      <c r="D396" s="7" t="n">
        <v>46204</v>
      </c>
      <c r="E396" s="6" t="n">
        <v>597322.5600000001</v>
      </c>
      <c r="F396" s="6" t="n">
        <v>721985.79</v>
      </c>
      <c r="G396" s="6">
        <f>E396-F396</f>
        <v/>
      </c>
      <c r="H396" s="8">
        <f>IFERROR((E396-F396)/E396,"")</f>
        <v/>
      </c>
      <c r="I396" s="6" t="n">
        <v>-788777.4300000001</v>
      </c>
    </row>
    <row r="397">
      <c r="A397" t="inlineStr">
        <is>
          <t>Roseville</t>
        </is>
      </c>
      <c r="B397" t="inlineStr">
        <is>
          <t>RSV-SCM</t>
        </is>
      </c>
      <c r="C397" t="inlineStr">
        <is>
          <t>Supply Chain</t>
        </is>
      </c>
      <c r="D397" s="7" t="n">
        <v>46235</v>
      </c>
      <c r="E397" s="6" t="n">
        <v>617057.6899999999</v>
      </c>
      <c r="F397" s="6" t="n">
        <v>759325.87</v>
      </c>
      <c r="G397" s="6">
        <f>E397-F397</f>
        <v/>
      </c>
      <c r="H397" s="8">
        <f>IFERROR((E397-F397)/E397,"")</f>
        <v/>
      </c>
      <c r="I397" s="6" t="n">
        <v>-931045.61</v>
      </c>
    </row>
    <row r="398">
      <c r="A398" t="inlineStr">
        <is>
          <t>Roseville</t>
        </is>
      </c>
      <c r="B398" t="inlineStr">
        <is>
          <t>RSV-ENG</t>
        </is>
      </c>
      <c r="C398" t="inlineStr">
        <is>
          <t>Engineering</t>
        </is>
      </c>
      <c r="D398" s="7" t="n">
        <v>45170</v>
      </c>
      <c r="E398" s="6" t="n">
        <v>1360527.51</v>
      </c>
      <c r="F398" s="6" t="n">
        <v>1324224.53</v>
      </c>
      <c r="G398" s="6">
        <f>E398-F398</f>
        <v/>
      </c>
      <c r="H398" s="8">
        <f>IFERROR((E398-F398)/E398,"")</f>
        <v/>
      </c>
      <c r="I398" s="6" t="n">
        <v>36302.98</v>
      </c>
    </row>
    <row r="399">
      <c r="A399" t="inlineStr">
        <is>
          <t>Roseville</t>
        </is>
      </c>
      <c r="B399" t="inlineStr">
        <is>
          <t>RSV-ENG</t>
        </is>
      </c>
      <c r="C399" t="inlineStr">
        <is>
          <t>Engineering</t>
        </is>
      </c>
      <c r="D399" s="7" t="n">
        <v>45200</v>
      </c>
      <c r="E399" s="6" t="n">
        <v>1364879.11</v>
      </c>
      <c r="F399" s="6" t="n">
        <v>1325908.71</v>
      </c>
      <c r="G399" s="6">
        <f>E399-F399</f>
        <v/>
      </c>
      <c r="H399" s="8">
        <f>IFERROR((E399-F399)/E399,"")</f>
        <v/>
      </c>
      <c r="I399" s="6" t="n">
        <v>75273.38</v>
      </c>
    </row>
    <row r="400">
      <c r="A400" t="inlineStr">
        <is>
          <t>Roseville</t>
        </is>
      </c>
      <c r="B400" t="inlineStr">
        <is>
          <t>RSV-ENG</t>
        </is>
      </c>
      <c r="C400" t="inlineStr">
        <is>
          <t>Engineering</t>
        </is>
      </c>
      <c r="D400" s="7" t="n">
        <v>45231</v>
      </c>
      <c r="E400" s="6" t="n">
        <v>1352150.41</v>
      </c>
      <c r="F400" s="6" t="n">
        <v>1344120.24</v>
      </c>
      <c r="G400" s="6">
        <f>E400-F400</f>
        <v/>
      </c>
      <c r="H400" s="8">
        <f>IFERROR((E400-F400)/E400,"")</f>
        <v/>
      </c>
      <c r="I400" s="6" t="n">
        <v>83303.55</v>
      </c>
    </row>
    <row r="401">
      <c r="A401" t="inlineStr">
        <is>
          <t>Roseville</t>
        </is>
      </c>
      <c r="B401" t="inlineStr">
        <is>
          <t>RSV-ENG</t>
        </is>
      </c>
      <c r="C401" t="inlineStr">
        <is>
          <t>Engineering</t>
        </is>
      </c>
      <c r="D401" s="7" t="n">
        <v>45261</v>
      </c>
      <c r="E401" s="6" t="n">
        <v>1326742.17</v>
      </c>
      <c r="F401" s="6" t="n">
        <v>1289168.53</v>
      </c>
      <c r="G401" s="6">
        <f>E401-F401</f>
        <v/>
      </c>
      <c r="H401" s="8">
        <f>IFERROR((E401-F401)/E401,"")</f>
        <v/>
      </c>
      <c r="I401" s="6" t="n">
        <v>120877.19</v>
      </c>
    </row>
    <row r="402">
      <c r="A402" t="inlineStr">
        <is>
          <t>Roseville</t>
        </is>
      </c>
      <c r="B402" t="inlineStr">
        <is>
          <t>RSV-ENG</t>
        </is>
      </c>
      <c r="C402" t="inlineStr">
        <is>
          <t>Engineering</t>
        </is>
      </c>
      <c r="D402" s="7" t="n">
        <v>45292</v>
      </c>
      <c r="E402" s="6" t="n">
        <v>1298787.3</v>
      </c>
      <c r="F402" s="6" t="n">
        <v>1274306.05</v>
      </c>
      <c r="G402" s="6">
        <f>E402-F402</f>
        <v/>
      </c>
      <c r="H402" s="8">
        <f>IFERROR((E402-F402)/E402,"")</f>
        <v/>
      </c>
      <c r="I402" s="6" t="n">
        <v>24481.25</v>
      </c>
    </row>
    <row r="403">
      <c r="A403" t="inlineStr">
        <is>
          <t>Roseville</t>
        </is>
      </c>
      <c r="B403" t="inlineStr">
        <is>
          <t>RSV-ENG</t>
        </is>
      </c>
      <c r="C403" t="inlineStr">
        <is>
          <t>Engineering</t>
        </is>
      </c>
      <c r="D403" s="7" t="n">
        <v>45323</v>
      </c>
      <c r="E403" s="6" t="n">
        <v>1259233.93</v>
      </c>
      <c r="F403" s="6" t="n">
        <v>1304380.56</v>
      </c>
      <c r="G403" s="6">
        <f>E403-F403</f>
        <v/>
      </c>
      <c r="H403" s="8">
        <f>IFERROR((E403-F403)/E403,"")</f>
        <v/>
      </c>
      <c r="I403" s="6" t="n">
        <v>-20665.38</v>
      </c>
    </row>
    <row r="404">
      <c r="A404" t="inlineStr">
        <is>
          <t>Roseville</t>
        </is>
      </c>
      <c r="B404" t="inlineStr">
        <is>
          <t>RSV-ENG</t>
        </is>
      </c>
      <c r="C404" t="inlineStr">
        <is>
          <t>Engineering</t>
        </is>
      </c>
      <c r="D404" s="7" t="n">
        <v>45352</v>
      </c>
      <c r="E404" s="6" t="n">
        <v>1235701.53</v>
      </c>
      <c r="F404" s="6" t="n">
        <v>1267808.26</v>
      </c>
      <c r="G404" s="6">
        <f>E404-F404</f>
        <v/>
      </c>
      <c r="H404" s="8">
        <f>IFERROR((E404-F404)/E404,"")</f>
        <v/>
      </c>
      <c r="I404" s="6" t="n">
        <v>-52772.11</v>
      </c>
    </row>
    <row r="405">
      <c r="A405" t="inlineStr">
        <is>
          <t>Roseville</t>
        </is>
      </c>
      <c r="B405" t="inlineStr">
        <is>
          <t>RSV-ENG</t>
        </is>
      </c>
      <c r="C405" t="inlineStr">
        <is>
          <t>Engineering</t>
        </is>
      </c>
      <c r="D405" s="7" t="n">
        <v>45383</v>
      </c>
      <c r="E405" s="6" t="n">
        <v>1227934.26</v>
      </c>
      <c r="F405" s="6" t="n">
        <v>1257495.47</v>
      </c>
      <c r="G405" s="6">
        <f>E405-F405</f>
        <v/>
      </c>
      <c r="H405" s="8">
        <f>IFERROR((E405-F405)/E405,"")</f>
        <v/>
      </c>
      <c r="I405" s="6" t="n">
        <v>-82333.32000000001</v>
      </c>
    </row>
    <row r="406">
      <c r="A406" t="inlineStr">
        <is>
          <t>Roseville</t>
        </is>
      </c>
      <c r="B406" t="inlineStr">
        <is>
          <t>RSV-ENG</t>
        </is>
      </c>
      <c r="C406" t="inlineStr">
        <is>
          <t>Engineering</t>
        </is>
      </c>
      <c r="D406" s="7" t="n">
        <v>45413</v>
      </c>
      <c r="E406" s="6" t="n">
        <v>1230866.52</v>
      </c>
      <c r="F406" s="6" t="n">
        <v>1223431.82</v>
      </c>
      <c r="G406" s="6">
        <f>E406-F406</f>
        <v/>
      </c>
      <c r="H406" s="8">
        <f>IFERROR((E406-F406)/E406,"")</f>
        <v/>
      </c>
      <c r="I406" s="6" t="n">
        <v>-74898.62</v>
      </c>
    </row>
    <row r="407">
      <c r="A407" t="inlineStr">
        <is>
          <t>Roseville</t>
        </is>
      </c>
      <c r="B407" t="inlineStr">
        <is>
          <t>RSV-ENG</t>
        </is>
      </c>
      <c r="C407" t="inlineStr">
        <is>
          <t>Engineering</t>
        </is>
      </c>
      <c r="D407" s="7" t="n">
        <v>45444</v>
      </c>
      <c r="E407" s="6" t="n">
        <v>1252914.94</v>
      </c>
      <c r="F407" s="6" t="n">
        <v>1235663.44</v>
      </c>
      <c r="G407" s="6">
        <f>E407-F407</f>
        <v/>
      </c>
      <c r="H407" s="8">
        <f>IFERROR((E407-F407)/E407,"")</f>
        <v/>
      </c>
      <c r="I407" s="6" t="n">
        <v>-57647.12</v>
      </c>
    </row>
    <row r="408">
      <c r="A408" t="inlineStr">
        <is>
          <t>Roseville</t>
        </is>
      </c>
      <c r="B408" t="inlineStr">
        <is>
          <t>RSV-ENG</t>
        </is>
      </c>
      <c r="C408" t="inlineStr">
        <is>
          <t>Engineering</t>
        </is>
      </c>
      <c r="D408" s="7" t="n">
        <v>45474</v>
      </c>
      <c r="E408" s="6" t="n">
        <v>1291175.18</v>
      </c>
      <c r="F408" s="6" t="n">
        <v>1260248.03</v>
      </c>
      <c r="G408" s="6">
        <f>E408-F408</f>
        <v/>
      </c>
      <c r="H408" s="8">
        <f>IFERROR((E408-F408)/E408,"")</f>
        <v/>
      </c>
      <c r="I408" s="6" t="n">
        <v>-26719.97</v>
      </c>
    </row>
    <row r="409">
      <c r="A409" t="inlineStr">
        <is>
          <t>Roseville</t>
        </is>
      </c>
      <c r="B409" t="inlineStr">
        <is>
          <t>RSV-ENG</t>
        </is>
      </c>
      <c r="C409" t="inlineStr">
        <is>
          <t>Engineering</t>
        </is>
      </c>
      <c r="D409" s="7" t="n">
        <v>45505</v>
      </c>
      <c r="E409" s="6" t="n">
        <v>1321075.54</v>
      </c>
      <c r="F409" s="6" t="n">
        <v>1290090.82</v>
      </c>
      <c r="G409" s="6">
        <f>E409-F409</f>
        <v/>
      </c>
      <c r="H409" s="8">
        <f>IFERROR((E409-F409)/E409,"")</f>
        <v/>
      </c>
      <c r="I409" s="6" t="n">
        <v>4264.75</v>
      </c>
    </row>
    <row r="410">
      <c r="A410" t="inlineStr">
        <is>
          <t>Roseville</t>
        </is>
      </c>
      <c r="B410" t="inlineStr">
        <is>
          <t>RSV-ENG</t>
        </is>
      </c>
      <c r="C410" t="inlineStr">
        <is>
          <t>Engineering</t>
        </is>
      </c>
      <c r="D410" s="7" t="n">
        <v>45536</v>
      </c>
      <c r="E410" s="6" t="n">
        <v>1333481.27</v>
      </c>
      <c r="F410" s="6" t="n">
        <v>1337235.57</v>
      </c>
      <c r="G410" s="6">
        <f>E410-F410</f>
        <v/>
      </c>
      <c r="H410" s="8">
        <f>IFERROR((E410-F410)/E410,"")</f>
        <v/>
      </c>
      <c r="I410" s="6" t="n">
        <v>510.45</v>
      </c>
    </row>
    <row r="411">
      <c r="A411" t="inlineStr">
        <is>
          <t>Roseville</t>
        </is>
      </c>
      <c r="B411" t="inlineStr">
        <is>
          <t>RSV-ENG</t>
        </is>
      </c>
      <c r="C411" t="inlineStr">
        <is>
          <t>Engineering</t>
        </is>
      </c>
      <c r="D411" s="7" t="n">
        <v>45566</v>
      </c>
      <c r="E411" s="6" t="n">
        <v>1336187.39</v>
      </c>
      <c r="F411" s="6" t="n">
        <v>1383407.43</v>
      </c>
      <c r="G411" s="6">
        <f>E411-F411</f>
        <v/>
      </c>
      <c r="H411" s="8">
        <f>IFERROR((E411-F411)/E411,"")</f>
        <v/>
      </c>
      <c r="I411" s="6" t="n">
        <v>-46709.59</v>
      </c>
    </row>
    <row r="412">
      <c r="A412" t="inlineStr">
        <is>
          <t>Roseville</t>
        </is>
      </c>
      <c r="B412" t="inlineStr">
        <is>
          <t>RSV-ENG</t>
        </is>
      </c>
      <c r="C412" t="inlineStr">
        <is>
          <t>Engineering</t>
        </is>
      </c>
      <c r="D412" s="7" t="n">
        <v>45597</v>
      </c>
      <c r="E412" s="6" t="n">
        <v>1327482.51</v>
      </c>
      <c r="F412" s="6" t="n">
        <v>1359734.16</v>
      </c>
      <c r="G412" s="6">
        <f>E412-F412</f>
        <v/>
      </c>
      <c r="H412" s="8">
        <f>IFERROR((E412-F412)/E412,"")</f>
        <v/>
      </c>
      <c r="I412" s="6" t="n">
        <v>-78961.24000000001</v>
      </c>
    </row>
    <row r="413">
      <c r="A413" t="inlineStr">
        <is>
          <t>Roseville</t>
        </is>
      </c>
      <c r="B413" t="inlineStr">
        <is>
          <t>RSV-ENG</t>
        </is>
      </c>
      <c r="C413" t="inlineStr">
        <is>
          <t>Engineering</t>
        </is>
      </c>
      <c r="D413" s="7" t="n">
        <v>45627</v>
      </c>
      <c r="E413" s="6" t="n">
        <v>1307661.6</v>
      </c>
      <c r="F413" s="6" t="n">
        <v>1391450.44</v>
      </c>
      <c r="G413" s="6">
        <f>E413-F413</f>
        <v/>
      </c>
      <c r="H413" s="8">
        <f>IFERROR((E413-F413)/E413,"")</f>
        <v/>
      </c>
      <c r="I413" s="6" t="n">
        <v>-162750.08</v>
      </c>
    </row>
    <row r="414">
      <c r="A414" t="inlineStr">
        <is>
          <t>Roseville</t>
        </is>
      </c>
      <c r="B414" t="inlineStr">
        <is>
          <t>RSV-ENG</t>
        </is>
      </c>
      <c r="C414" t="inlineStr">
        <is>
          <t>Engineering</t>
        </is>
      </c>
      <c r="D414" s="7" t="n">
        <v>45658</v>
      </c>
      <c r="E414" s="6" t="n">
        <v>1279157.46</v>
      </c>
      <c r="F414" s="6" t="n">
        <v>1337276.93</v>
      </c>
      <c r="G414" s="6">
        <f>E414-F414</f>
        <v/>
      </c>
      <c r="H414" s="8">
        <f>IFERROR((E414-F414)/E414,"")</f>
        <v/>
      </c>
      <c r="I414" s="6" t="n">
        <v>-58119.47</v>
      </c>
    </row>
    <row r="415">
      <c r="A415" t="inlineStr">
        <is>
          <t>Roseville</t>
        </is>
      </c>
      <c r="B415" t="inlineStr">
        <is>
          <t>RSV-ENG</t>
        </is>
      </c>
      <c r="C415" t="inlineStr">
        <is>
          <t>Engineering</t>
        </is>
      </c>
      <c r="D415" s="7" t="n">
        <v>45689</v>
      </c>
      <c r="E415" s="6" t="n">
        <v>1241741.95</v>
      </c>
      <c r="F415" s="6" t="n">
        <v>1293721.19</v>
      </c>
      <c r="G415" s="6">
        <f>E415-F415</f>
        <v/>
      </c>
      <c r="H415" s="8">
        <f>IFERROR((E415-F415)/E415,"")</f>
        <v/>
      </c>
      <c r="I415" s="6" t="n">
        <v>-110098.71</v>
      </c>
    </row>
    <row r="416">
      <c r="A416" t="inlineStr">
        <is>
          <t>Roseville</t>
        </is>
      </c>
      <c r="B416" t="inlineStr">
        <is>
          <t>RSV-ENG</t>
        </is>
      </c>
      <c r="C416" t="inlineStr">
        <is>
          <t>Engineering</t>
        </is>
      </c>
      <c r="D416" s="7" t="n">
        <v>45717</v>
      </c>
      <c r="E416" s="6" t="n">
        <v>1214946.18</v>
      </c>
      <c r="F416" s="6" t="n">
        <v>1301968.33</v>
      </c>
      <c r="G416" s="6">
        <f>E416-F416</f>
        <v/>
      </c>
      <c r="H416" s="8">
        <f>IFERROR((E416-F416)/E416,"")</f>
        <v/>
      </c>
      <c r="I416" s="6" t="n">
        <v>-197120.86</v>
      </c>
    </row>
    <row r="417">
      <c r="A417" t="inlineStr">
        <is>
          <t>Roseville</t>
        </is>
      </c>
      <c r="B417" t="inlineStr">
        <is>
          <t>RSV-ENG</t>
        </is>
      </c>
      <c r="C417" t="inlineStr">
        <is>
          <t>Engineering</t>
        </is>
      </c>
      <c r="D417" s="7" t="n">
        <v>45748</v>
      </c>
      <c r="E417" s="6" t="n">
        <v>1203197.4</v>
      </c>
      <c r="F417" s="6" t="n">
        <v>1248860.63</v>
      </c>
      <c r="G417" s="6">
        <f>E417-F417</f>
        <v/>
      </c>
      <c r="H417" s="8">
        <f>IFERROR((E417-F417)/E417,"")</f>
        <v/>
      </c>
      <c r="I417" s="6" t="n">
        <v>-242784.09</v>
      </c>
    </row>
    <row r="418">
      <c r="A418" t="inlineStr">
        <is>
          <t>Roseville</t>
        </is>
      </c>
      <c r="B418" t="inlineStr">
        <is>
          <t>RSV-ENG</t>
        </is>
      </c>
      <c r="C418" t="inlineStr">
        <is>
          <t>Engineering</t>
        </is>
      </c>
      <c r="D418" s="7" t="n">
        <v>45778</v>
      </c>
      <c r="E418" s="6" t="n">
        <v>1216018.56</v>
      </c>
      <c r="F418" s="6" t="n">
        <v>1262485.02</v>
      </c>
      <c r="G418" s="6">
        <f>E418-F418</f>
        <v/>
      </c>
      <c r="H418" s="8">
        <f>IFERROR((E418-F418)/E418,"")</f>
        <v/>
      </c>
      <c r="I418" s="6" t="n">
        <v>-289250.55</v>
      </c>
    </row>
    <row r="419">
      <c r="A419" t="inlineStr">
        <is>
          <t>Roseville</t>
        </is>
      </c>
      <c r="B419" t="inlineStr">
        <is>
          <t>RSV-ENG</t>
        </is>
      </c>
      <c r="C419" t="inlineStr">
        <is>
          <t>Engineering</t>
        </is>
      </c>
      <c r="D419" s="7" t="n">
        <v>45809</v>
      </c>
      <c r="E419" s="6" t="n">
        <v>1226761.03</v>
      </c>
      <c r="F419" s="6" t="n">
        <v>1242823.47</v>
      </c>
      <c r="G419" s="6">
        <f>E419-F419</f>
        <v/>
      </c>
      <c r="H419" s="8">
        <f>IFERROR((E419-F419)/E419,"")</f>
        <v/>
      </c>
      <c r="I419" s="6" t="n">
        <v>-305312.99</v>
      </c>
    </row>
    <row r="420">
      <c r="A420" t="inlineStr">
        <is>
          <t>Roseville</t>
        </is>
      </c>
      <c r="B420" t="inlineStr">
        <is>
          <t>RSV-ENG</t>
        </is>
      </c>
      <c r="C420" t="inlineStr">
        <is>
          <t>Engineering</t>
        </is>
      </c>
      <c r="D420" s="7" t="n">
        <v>45839</v>
      </c>
      <c r="E420" s="6" t="n">
        <v>1263651.3</v>
      </c>
      <c r="F420" s="6" t="n">
        <v>1281630.37</v>
      </c>
      <c r="G420" s="6">
        <f>E420-F420</f>
        <v/>
      </c>
      <c r="H420" s="8">
        <f>IFERROR((E420-F420)/E420,"")</f>
        <v/>
      </c>
      <c r="I420" s="6" t="n">
        <v>-323292.06</v>
      </c>
    </row>
    <row r="421">
      <c r="A421" t="inlineStr">
        <is>
          <t>Roseville</t>
        </is>
      </c>
      <c r="B421" t="inlineStr">
        <is>
          <t>RSV-ENG</t>
        </is>
      </c>
      <c r="C421" t="inlineStr">
        <is>
          <t>Engineering</t>
        </is>
      </c>
      <c r="D421" s="7" t="n">
        <v>45870</v>
      </c>
      <c r="E421" s="6" t="n">
        <v>1292973.53</v>
      </c>
      <c r="F421" s="6" t="n">
        <v>1301603.67</v>
      </c>
      <c r="G421" s="6">
        <f>E421-F421</f>
        <v/>
      </c>
      <c r="H421" s="8">
        <f>IFERROR((E421-F421)/E421,"")</f>
        <v/>
      </c>
      <c r="I421" s="6" t="n">
        <v>-331922.2</v>
      </c>
    </row>
    <row r="422">
      <c r="A422" t="inlineStr">
        <is>
          <t>Roseville</t>
        </is>
      </c>
      <c r="B422" t="inlineStr">
        <is>
          <t>RSV-ENG</t>
        </is>
      </c>
      <c r="C422" t="inlineStr">
        <is>
          <t>Engineering</t>
        </is>
      </c>
      <c r="D422" s="7" t="n">
        <v>45901</v>
      </c>
      <c r="E422" s="6" t="n">
        <v>1318294.11</v>
      </c>
      <c r="F422" s="6" t="n">
        <v>1347454.73</v>
      </c>
      <c r="G422" s="6">
        <f>E422-F422</f>
        <v/>
      </c>
      <c r="H422" s="8">
        <f>IFERROR((E422-F422)/E422,"")</f>
        <v/>
      </c>
      <c r="I422" s="6" t="n">
        <v>-361082.82</v>
      </c>
    </row>
    <row r="423">
      <c r="A423" t="inlineStr">
        <is>
          <t>Roseville</t>
        </is>
      </c>
      <c r="B423" t="inlineStr">
        <is>
          <t>RSV-ENG</t>
        </is>
      </c>
      <c r="C423" t="inlineStr">
        <is>
          <t>Engineering</t>
        </is>
      </c>
      <c r="D423" s="7" t="n">
        <v>45931</v>
      </c>
      <c r="E423" s="6" t="n">
        <v>1319600</v>
      </c>
      <c r="F423" s="6" t="n">
        <v>1271617.98</v>
      </c>
      <c r="G423" s="6">
        <f>E423-F423</f>
        <v/>
      </c>
      <c r="H423" s="8">
        <f>IFERROR((E423-F423)/E423,"")</f>
        <v/>
      </c>
      <c r="I423" s="6" t="n">
        <v>-313100.8</v>
      </c>
    </row>
    <row r="424">
      <c r="A424" t="inlineStr">
        <is>
          <t>Roseville</t>
        </is>
      </c>
      <c r="B424" t="inlineStr">
        <is>
          <t>RSV-ENG</t>
        </is>
      </c>
      <c r="C424" t="inlineStr">
        <is>
          <t>Engineering</t>
        </is>
      </c>
      <c r="D424" s="7" t="n">
        <v>45962</v>
      </c>
      <c r="E424" s="6" t="n">
        <v>1306140.89</v>
      </c>
      <c r="F424" s="6" t="n">
        <v>1259302.75</v>
      </c>
      <c r="G424" s="6">
        <f>E424-F424</f>
        <v/>
      </c>
      <c r="H424" s="8">
        <f>IFERROR((E424-F424)/E424,"")</f>
        <v/>
      </c>
      <c r="I424" s="6" t="n">
        <v>-266262.66</v>
      </c>
    </row>
    <row r="425">
      <c r="A425" t="inlineStr">
        <is>
          <t>Roseville</t>
        </is>
      </c>
      <c r="B425" t="inlineStr">
        <is>
          <t>RSV-ENG</t>
        </is>
      </c>
      <c r="C425" t="inlineStr">
        <is>
          <t>Engineering</t>
        </is>
      </c>
      <c r="D425" s="7" t="n">
        <v>45992</v>
      </c>
      <c r="E425" s="6" t="n">
        <v>1284171.75</v>
      </c>
      <c r="F425" s="6" t="n">
        <v>1262187.53</v>
      </c>
      <c r="G425" s="6">
        <f>E425-F425</f>
        <v/>
      </c>
      <c r="H425" s="8">
        <f>IFERROR((E425-F425)/E425,"")</f>
        <v/>
      </c>
      <c r="I425" s="6" t="n">
        <v>-244278.44</v>
      </c>
    </row>
    <row r="426">
      <c r="A426" t="inlineStr">
        <is>
          <t>Roseville</t>
        </is>
      </c>
      <c r="B426" t="inlineStr">
        <is>
          <t>RSV-ENG</t>
        </is>
      </c>
      <c r="C426" t="inlineStr">
        <is>
          <t>Engineering</t>
        </is>
      </c>
      <c r="D426" s="7" t="n">
        <v>46023</v>
      </c>
      <c r="E426" s="6" t="n">
        <v>1255980.93</v>
      </c>
      <c r="F426" s="6" t="n">
        <v>1253048.93</v>
      </c>
      <c r="G426" s="6">
        <f>E426-F426</f>
        <v/>
      </c>
      <c r="H426" s="8">
        <f>IFERROR((E426-F426)/E426,"")</f>
        <v/>
      </c>
      <c r="I426" s="6" t="n">
        <v>2932</v>
      </c>
    </row>
    <row r="427">
      <c r="A427" t="inlineStr">
        <is>
          <t>Roseville</t>
        </is>
      </c>
      <c r="B427" t="inlineStr">
        <is>
          <t>RSV-ENG</t>
        </is>
      </c>
      <c r="C427" t="inlineStr">
        <is>
          <t>Engineering</t>
        </is>
      </c>
      <c r="D427" s="7" t="n">
        <v>46054</v>
      </c>
      <c r="E427" s="6" t="n">
        <v>1219345.9</v>
      </c>
      <c r="F427" s="6" t="n">
        <v>1214993.73</v>
      </c>
      <c r="G427" s="6">
        <f>E427-F427</f>
        <v/>
      </c>
      <c r="H427" s="8">
        <f>IFERROR((E427-F427)/E427,"")</f>
        <v/>
      </c>
      <c r="I427" s="6" t="n">
        <v>7284.17</v>
      </c>
    </row>
    <row r="428">
      <c r="A428" t="inlineStr">
        <is>
          <t>Roseville</t>
        </is>
      </c>
      <c r="B428" t="inlineStr">
        <is>
          <t>RSV-ENG</t>
        </is>
      </c>
      <c r="C428" t="inlineStr">
        <is>
          <t>Engineering</t>
        </is>
      </c>
      <c r="D428" s="7" t="n">
        <v>46082</v>
      </c>
      <c r="E428" s="6" t="n">
        <v>1188666.53</v>
      </c>
      <c r="F428" s="6" t="n">
        <v>1250515.68</v>
      </c>
      <c r="G428" s="6">
        <f>E428-F428</f>
        <v/>
      </c>
      <c r="H428" s="8">
        <f>IFERROR((E428-F428)/E428,"")</f>
        <v/>
      </c>
      <c r="I428" s="6" t="n">
        <v>-54564.98</v>
      </c>
    </row>
    <row r="429">
      <c r="A429" t="inlineStr">
        <is>
          <t>Roseville</t>
        </is>
      </c>
      <c r="B429" t="inlineStr">
        <is>
          <t>RSV-ENG</t>
        </is>
      </c>
      <c r="C429" t="inlineStr">
        <is>
          <t>Engineering</t>
        </is>
      </c>
      <c r="D429" s="7" t="n">
        <v>46113</v>
      </c>
      <c r="E429" s="6" t="n">
        <v>1186639.24</v>
      </c>
      <c r="F429" s="6" t="n">
        <v>1248060.28</v>
      </c>
      <c r="G429" s="6">
        <f>E429-F429</f>
        <v/>
      </c>
      <c r="H429" s="8">
        <f>IFERROR((E429-F429)/E429,"")</f>
        <v/>
      </c>
      <c r="I429" s="6" t="n">
        <v>-115986.02</v>
      </c>
    </row>
    <row r="430">
      <c r="A430" t="inlineStr">
        <is>
          <t>Roseville</t>
        </is>
      </c>
      <c r="B430" t="inlineStr">
        <is>
          <t>RSV-ENG</t>
        </is>
      </c>
      <c r="C430" t="inlineStr">
        <is>
          <t>Engineering</t>
        </is>
      </c>
      <c r="D430" s="7" t="n">
        <v>46143</v>
      </c>
      <c r="E430" s="6" t="n">
        <v>1193793.31</v>
      </c>
      <c r="F430" s="6" t="n">
        <v>1174285.57</v>
      </c>
      <c r="G430" s="6">
        <f>E430-F430</f>
        <v/>
      </c>
      <c r="H430" s="8">
        <f>IFERROR((E430-F430)/E430,"")</f>
        <v/>
      </c>
      <c r="I430" s="6" t="n">
        <v>-96478.28</v>
      </c>
    </row>
    <row r="431">
      <c r="A431" t="inlineStr">
        <is>
          <t>Roseville</t>
        </is>
      </c>
      <c r="B431" t="inlineStr">
        <is>
          <t>RSV-ENG</t>
        </is>
      </c>
      <c r="C431" t="inlineStr">
        <is>
          <t>Engineering</t>
        </is>
      </c>
      <c r="D431" s="7" t="n">
        <v>46174</v>
      </c>
      <c r="E431" s="6" t="n">
        <v>1215611.34</v>
      </c>
      <c r="F431" s="6" t="n">
        <v>1172560.58</v>
      </c>
      <c r="G431" s="6">
        <f>E431-F431</f>
        <v/>
      </c>
      <c r="H431" s="8">
        <f>IFERROR((E431-F431)/E431,"")</f>
        <v/>
      </c>
      <c r="I431" s="6" t="n">
        <v>-53427.52</v>
      </c>
    </row>
    <row r="432">
      <c r="A432" t="inlineStr">
        <is>
          <t>Roseville</t>
        </is>
      </c>
      <c r="B432" t="inlineStr">
        <is>
          <t>RSV-ENG</t>
        </is>
      </c>
      <c r="C432" t="inlineStr">
        <is>
          <t>Engineering</t>
        </is>
      </c>
      <c r="D432" s="7" t="n">
        <v>46204</v>
      </c>
      <c r="E432" s="6" t="n">
        <v>1240425.47</v>
      </c>
      <c r="F432" s="6" t="n">
        <v>1210084.25</v>
      </c>
      <c r="G432" s="6">
        <f>E432-F432</f>
        <v/>
      </c>
      <c r="H432" s="8">
        <f>IFERROR((E432-F432)/E432,"")</f>
        <v/>
      </c>
      <c r="I432" s="6" t="n">
        <v>-23086.3</v>
      </c>
    </row>
    <row r="433">
      <c r="A433" t="inlineStr">
        <is>
          <t>Roseville</t>
        </is>
      </c>
      <c r="B433" t="inlineStr">
        <is>
          <t>RSV-ENG</t>
        </is>
      </c>
      <c r="C433" t="inlineStr">
        <is>
          <t>Engineering</t>
        </is>
      </c>
      <c r="D433" s="7" t="n">
        <v>46235</v>
      </c>
      <c r="E433" s="6" t="n">
        <v>1266670.8</v>
      </c>
      <c r="F433" s="6" t="n">
        <v>1185864.43</v>
      </c>
      <c r="G433" s="6">
        <f>E433-F433</f>
        <v/>
      </c>
      <c r="H433" s="8">
        <f>IFERROR((E433-F433)/E433,"")</f>
        <v/>
      </c>
      <c r="I433" s="6" t="n">
        <v>57720.07</v>
      </c>
    </row>
    <row r="434">
      <c r="A434" t="inlineStr">
        <is>
          <t>Seremban</t>
        </is>
      </c>
      <c r="B434" t="inlineStr">
        <is>
          <t>SRB-FAB</t>
        </is>
      </c>
      <c r="C434" t="inlineStr">
        <is>
          <t>Fab Operations</t>
        </is>
      </c>
      <c r="D434" s="7" t="n">
        <v>45170</v>
      </c>
      <c r="E434" s="6" t="n">
        <v>1921512.72</v>
      </c>
      <c r="F434" s="6" t="n">
        <v>1974321.25</v>
      </c>
      <c r="G434" s="6">
        <f>E434-F434</f>
        <v/>
      </c>
      <c r="H434" s="8">
        <f>IFERROR((E434-F434)/E434,"")</f>
        <v/>
      </c>
      <c r="I434" s="6" t="n">
        <v>-52808.53</v>
      </c>
    </row>
    <row r="435">
      <c r="A435" t="inlineStr">
        <is>
          <t>Seremban</t>
        </is>
      </c>
      <c r="B435" t="inlineStr">
        <is>
          <t>SRB-FAB</t>
        </is>
      </c>
      <c r="C435" t="inlineStr">
        <is>
          <t>Fab Operations</t>
        </is>
      </c>
      <c r="D435" s="7" t="n">
        <v>45200</v>
      </c>
      <c r="E435" s="6" t="n">
        <v>2002368.88</v>
      </c>
      <c r="F435" s="6" t="n">
        <v>2055038.14</v>
      </c>
      <c r="G435" s="6">
        <f>E435-F435</f>
        <v/>
      </c>
      <c r="H435" s="8">
        <f>IFERROR((E435-F435)/E435,"")</f>
        <v/>
      </c>
      <c r="I435" s="6" t="n">
        <v>-105477.79</v>
      </c>
    </row>
    <row r="436">
      <c r="A436" t="inlineStr">
        <is>
          <t>Seremban</t>
        </is>
      </c>
      <c r="B436" t="inlineStr">
        <is>
          <t>SRB-FAB</t>
        </is>
      </c>
      <c r="C436" t="inlineStr">
        <is>
          <t>Fab Operations</t>
        </is>
      </c>
      <c r="D436" s="7" t="n">
        <v>45231</v>
      </c>
      <c r="E436" s="6" t="n">
        <v>2027033.44</v>
      </c>
      <c r="F436" s="6" t="n">
        <v>1998150.82</v>
      </c>
      <c r="G436" s="6">
        <f>E436-F436</f>
        <v/>
      </c>
      <c r="H436" s="8">
        <f>IFERROR((E436-F436)/E436,"")</f>
        <v/>
      </c>
      <c r="I436" s="6" t="n">
        <v>-76595.17</v>
      </c>
    </row>
    <row r="437">
      <c r="A437" t="inlineStr">
        <is>
          <t>Seremban</t>
        </is>
      </c>
      <c r="B437" t="inlineStr">
        <is>
          <t>SRB-FAB</t>
        </is>
      </c>
      <c r="C437" t="inlineStr">
        <is>
          <t>Fab Operations</t>
        </is>
      </c>
      <c r="D437" s="7" t="n">
        <v>45261</v>
      </c>
      <c r="E437" s="6" t="n">
        <v>2057541.17</v>
      </c>
      <c r="F437" s="6" t="n">
        <v>2222387.89</v>
      </c>
      <c r="G437" s="6">
        <f>E437-F437</f>
        <v/>
      </c>
      <c r="H437" s="8">
        <f>IFERROR((E437-F437)/E437,"")</f>
        <v/>
      </c>
      <c r="I437" s="6" t="n">
        <v>-241441.89</v>
      </c>
    </row>
    <row r="438">
      <c r="A438" t="inlineStr">
        <is>
          <t>Seremban</t>
        </is>
      </c>
      <c r="B438" t="inlineStr">
        <is>
          <t>SRB-FAB</t>
        </is>
      </c>
      <c r="C438" t="inlineStr">
        <is>
          <t>Fab Operations</t>
        </is>
      </c>
      <c r="D438" s="7" t="n">
        <v>45292</v>
      </c>
      <c r="E438" s="6" t="n">
        <v>2011343.93</v>
      </c>
      <c r="F438" s="6" t="n">
        <v>2143122.65</v>
      </c>
      <c r="G438" s="6">
        <f>E438-F438</f>
        <v/>
      </c>
      <c r="H438" s="8">
        <f>IFERROR((E438-F438)/E438,"")</f>
        <v/>
      </c>
      <c r="I438" s="6" t="n">
        <v>-131778.72</v>
      </c>
    </row>
    <row r="439">
      <c r="A439" t="inlineStr">
        <is>
          <t>Seremban</t>
        </is>
      </c>
      <c r="B439" t="inlineStr">
        <is>
          <t>SRB-FAB</t>
        </is>
      </c>
      <c r="C439" t="inlineStr">
        <is>
          <t>Fab Operations</t>
        </is>
      </c>
      <c r="D439" s="7" t="n">
        <v>45323</v>
      </c>
      <c r="E439" s="6" t="n">
        <v>1949907.87</v>
      </c>
      <c r="F439" s="6" t="n">
        <v>1941130.46</v>
      </c>
      <c r="G439" s="6">
        <f>E439-F439</f>
        <v/>
      </c>
      <c r="H439" s="8">
        <f>IFERROR((E439-F439)/E439,"")</f>
        <v/>
      </c>
      <c r="I439" s="6" t="n">
        <v>-123001.31</v>
      </c>
    </row>
    <row r="440">
      <c r="A440" t="inlineStr">
        <is>
          <t>Seremban</t>
        </is>
      </c>
      <c r="B440" t="inlineStr">
        <is>
          <t>SRB-FAB</t>
        </is>
      </c>
      <c r="C440" t="inlineStr">
        <is>
          <t>Fab Operations</t>
        </is>
      </c>
      <c r="D440" s="7" t="n">
        <v>45352</v>
      </c>
      <c r="E440" s="6" t="n">
        <v>1856075.7</v>
      </c>
      <c r="F440" s="6" t="n">
        <v>1886009.63</v>
      </c>
      <c r="G440" s="6">
        <f>E440-F440</f>
        <v/>
      </c>
      <c r="H440" s="8">
        <f>IFERROR((E440-F440)/E440,"")</f>
        <v/>
      </c>
      <c r="I440" s="6" t="n">
        <v>-152935.24</v>
      </c>
    </row>
    <row r="441">
      <c r="A441" t="inlineStr">
        <is>
          <t>Seremban</t>
        </is>
      </c>
      <c r="B441" t="inlineStr">
        <is>
          <t>SRB-FAB</t>
        </is>
      </c>
      <c r="C441" t="inlineStr">
        <is>
          <t>Fab Operations</t>
        </is>
      </c>
      <c r="D441" s="7" t="n">
        <v>45383</v>
      </c>
      <c r="E441" s="6" t="n">
        <v>1765145.89</v>
      </c>
      <c r="F441" s="6" t="n">
        <v>1794517.31</v>
      </c>
      <c r="G441" s="6">
        <f>E441-F441</f>
        <v/>
      </c>
      <c r="H441" s="8">
        <f>IFERROR((E441-F441)/E441,"")</f>
        <v/>
      </c>
      <c r="I441" s="6" t="n">
        <v>-182306.66</v>
      </c>
    </row>
    <row r="442">
      <c r="A442" t="inlineStr">
        <is>
          <t>Seremban</t>
        </is>
      </c>
      <c r="B442" t="inlineStr">
        <is>
          <t>SRB-FAB</t>
        </is>
      </c>
      <c r="C442" t="inlineStr">
        <is>
          <t>Fab Operations</t>
        </is>
      </c>
      <c r="D442" s="7" t="n">
        <v>45413</v>
      </c>
      <c r="E442" s="6" t="n">
        <v>1720318.45</v>
      </c>
      <c r="F442" s="6" t="n">
        <v>1772897.92</v>
      </c>
      <c r="G442" s="6">
        <f>E442-F442</f>
        <v/>
      </c>
      <c r="H442" s="8">
        <f>IFERROR((E442-F442)/E442,"")</f>
        <v/>
      </c>
      <c r="I442" s="6" t="n">
        <v>-234886.13</v>
      </c>
    </row>
    <row r="443">
      <c r="A443" t="inlineStr">
        <is>
          <t>Seremban</t>
        </is>
      </c>
      <c r="B443" t="inlineStr">
        <is>
          <t>SRB-FAB</t>
        </is>
      </c>
      <c r="C443" t="inlineStr">
        <is>
          <t>Fab Operations</t>
        </is>
      </c>
      <c r="D443" s="7" t="n">
        <v>45444</v>
      </c>
      <c r="E443" s="6" t="n">
        <v>1744619.88</v>
      </c>
      <c r="F443" s="6" t="n">
        <v>1875474.13</v>
      </c>
      <c r="G443" s="6">
        <f>E443-F443</f>
        <v/>
      </c>
      <c r="H443" s="8">
        <f>IFERROR((E443-F443)/E443,"")</f>
        <v/>
      </c>
      <c r="I443" s="6" t="n">
        <v>-365740.38</v>
      </c>
    </row>
    <row r="444">
      <c r="A444" t="inlineStr">
        <is>
          <t>Seremban</t>
        </is>
      </c>
      <c r="B444" t="inlineStr">
        <is>
          <t>SRB-FAB</t>
        </is>
      </c>
      <c r="C444" t="inlineStr">
        <is>
          <t>Fab Operations</t>
        </is>
      </c>
      <c r="D444" s="7" t="n">
        <v>45474</v>
      </c>
      <c r="E444" s="6" t="n">
        <v>1736521.24</v>
      </c>
      <c r="F444" s="6" t="n">
        <v>1707080.69</v>
      </c>
      <c r="G444" s="6">
        <f>E444-F444</f>
        <v/>
      </c>
      <c r="H444" s="8">
        <f>IFERROR((E444-F444)/E444,"")</f>
        <v/>
      </c>
      <c r="I444" s="6" t="n">
        <v>-336299.83</v>
      </c>
    </row>
    <row r="445">
      <c r="A445" t="inlineStr">
        <is>
          <t>Seremban</t>
        </is>
      </c>
      <c r="B445" t="inlineStr">
        <is>
          <t>SRB-FAB</t>
        </is>
      </c>
      <c r="C445" t="inlineStr">
        <is>
          <t>Fab Operations</t>
        </is>
      </c>
      <c r="D445" s="7" t="n">
        <v>45505</v>
      </c>
      <c r="E445" s="6" t="n">
        <v>1797399.85</v>
      </c>
      <c r="F445" s="6" t="n">
        <v>1767541.01</v>
      </c>
      <c r="G445" s="6">
        <f>E445-F445</f>
        <v/>
      </c>
      <c r="H445" s="8">
        <f>IFERROR((E445-F445)/E445,"")</f>
        <v/>
      </c>
      <c r="I445" s="6" t="n">
        <v>-306440.99</v>
      </c>
    </row>
    <row r="446">
      <c r="A446" t="inlineStr">
        <is>
          <t>Seremban</t>
        </is>
      </c>
      <c r="B446" t="inlineStr">
        <is>
          <t>SRB-FAB</t>
        </is>
      </c>
      <c r="C446" t="inlineStr">
        <is>
          <t>Fab Operations</t>
        </is>
      </c>
      <c r="D446" s="7" t="n">
        <v>45536</v>
      </c>
      <c r="E446" s="6" t="n">
        <v>1864488.94</v>
      </c>
      <c r="F446" s="6" t="n">
        <v>1972919.13</v>
      </c>
      <c r="G446" s="6">
        <f>E446-F446</f>
        <v/>
      </c>
      <c r="H446" s="8">
        <f>IFERROR((E446-F446)/E446,"")</f>
        <v/>
      </c>
      <c r="I446" s="6" t="n">
        <v>-414871.18</v>
      </c>
    </row>
    <row r="447">
      <c r="A447" t="inlineStr">
        <is>
          <t>Seremban</t>
        </is>
      </c>
      <c r="B447" t="inlineStr">
        <is>
          <t>SRB-FAB</t>
        </is>
      </c>
      <c r="C447" t="inlineStr">
        <is>
          <t>Fab Operations</t>
        </is>
      </c>
      <c r="D447" s="7" t="n">
        <v>45566</v>
      </c>
      <c r="E447" s="6" t="n">
        <v>1915172.37</v>
      </c>
      <c r="F447" s="6" t="n">
        <v>1927332.29</v>
      </c>
      <c r="G447" s="6">
        <f>E447-F447</f>
        <v/>
      </c>
      <c r="H447" s="8">
        <f>IFERROR((E447-F447)/E447,"")</f>
        <v/>
      </c>
      <c r="I447" s="6" t="n">
        <v>-427031.1</v>
      </c>
    </row>
    <row r="448">
      <c r="A448" t="inlineStr">
        <is>
          <t>Seremban</t>
        </is>
      </c>
      <c r="B448" t="inlineStr">
        <is>
          <t>SRB-FAB</t>
        </is>
      </c>
      <c r="C448" t="inlineStr">
        <is>
          <t>Fab Operations</t>
        </is>
      </c>
      <c r="D448" s="7" t="n">
        <v>45597</v>
      </c>
      <c r="E448" s="6" t="n">
        <v>1965105.13</v>
      </c>
      <c r="F448" s="6" t="n">
        <v>2059210.3</v>
      </c>
      <c r="G448" s="6">
        <f>E448-F448</f>
        <v/>
      </c>
      <c r="H448" s="8">
        <f>IFERROR((E448-F448)/E448,"")</f>
        <v/>
      </c>
      <c r="I448" s="6" t="n">
        <v>-521136.27</v>
      </c>
    </row>
    <row r="449">
      <c r="A449" t="inlineStr">
        <is>
          <t>Seremban</t>
        </is>
      </c>
      <c r="B449" t="inlineStr">
        <is>
          <t>SRB-FAB</t>
        </is>
      </c>
      <c r="C449" t="inlineStr">
        <is>
          <t>Fab Operations</t>
        </is>
      </c>
      <c r="D449" s="7" t="n">
        <v>45627</v>
      </c>
      <c r="E449" s="6" t="n">
        <v>1975352.84</v>
      </c>
      <c r="F449" s="6" t="n">
        <v>2019545.5</v>
      </c>
      <c r="G449" s="6">
        <f>E449-F449</f>
        <v/>
      </c>
      <c r="H449" s="8">
        <f>IFERROR((E449-F449)/E449,"")</f>
        <v/>
      </c>
      <c r="I449" s="6" t="n">
        <v>-565328.9300000001</v>
      </c>
    </row>
    <row r="450">
      <c r="A450" t="inlineStr">
        <is>
          <t>Seremban</t>
        </is>
      </c>
      <c r="B450" t="inlineStr">
        <is>
          <t>SRB-FAB</t>
        </is>
      </c>
      <c r="C450" t="inlineStr">
        <is>
          <t>Fab Operations</t>
        </is>
      </c>
      <c r="D450" s="7" t="n">
        <v>45658</v>
      </c>
      <c r="E450" s="6" t="n">
        <v>1902256.34</v>
      </c>
      <c r="F450" s="6" t="n">
        <v>1940292.49</v>
      </c>
      <c r="G450" s="6">
        <f>E450-F450</f>
        <v/>
      </c>
      <c r="H450" s="8">
        <f>IFERROR((E450-F450)/E450,"")</f>
        <v/>
      </c>
      <c r="I450" s="6" t="n">
        <v>-38036.15</v>
      </c>
    </row>
    <row r="451">
      <c r="A451" t="inlineStr">
        <is>
          <t>Seremban</t>
        </is>
      </c>
      <c r="B451" t="inlineStr">
        <is>
          <t>SRB-FAB</t>
        </is>
      </c>
      <c r="C451" t="inlineStr">
        <is>
          <t>Fab Operations</t>
        </is>
      </c>
      <c r="D451" s="7" t="n">
        <v>45689</v>
      </c>
      <c r="E451" s="6" t="n">
        <v>1851276.01</v>
      </c>
      <c r="F451" s="6" t="n">
        <v>1984693.1</v>
      </c>
      <c r="G451" s="6">
        <f>E451-F451</f>
        <v/>
      </c>
      <c r="H451" s="8">
        <f>IFERROR((E451-F451)/E451,"")</f>
        <v/>
      </c>
      <c r="I451" s="6" t="n">
        <v>-171453.24</v>
      </c>
    </row>
    <row r="452">
      <c r="A452" t="inlineStr">
        <is>
          <t>Seremban</t>
        </is>
      </c>
      <c r="B452" t="inlineStr">
        <is>
          <t>SRB-FAB</t>
        </is>
      </c>
      <c r="C452" t="inlineStr">
        <is>
          <t>Fab Operations</t>
        </is>
      </c>
      <c r="D452" s="7" t="n">
        <v>45717</v>
      </c>
      <c r="E452" s="6" t="n">
        <v>1749942.5</v>
      </c>
      <c r="F452" s="6" t="n">
        <v>1909330.89</v>
      </c>
      <c r="G452" s="6">
        <f>E452-F452</f>
        <v/>
      </c>
      <c r="H452" s="8">
        <f>IFERROR((E452-F452)/E452,"")</f>
        <v/>
      </c>
      <c r="I452" s="6" t="n">
        <v>-330841.63</v>
      </c>
    </row>
    <row r="453">
      <c r="A453" t="inlineStr">
        <is>
          <t>Seremban</t>
        </is>
      </c>
      <c r="B453" t="inlineStr">
        <is>
          <t>SRB-FAB</t>
        </is>
      </c>
      <c r="C453" t="inlineStr">
        <is>
          <t>Fab Operations</t>
        </is>
      </c>
      <c r="D453" s="7" t="n">
        <v>45748</v>
      </c>
      <c r="E453" s="6" t="n">
        <v>1735622.93</v>
      </c>
      <c r="F453" s="6" t="n">
        <v>1765220.42</v>
      </c>
      <c r="G453" s="6">
        <f>E453-F453</f>
        <v/>
      </c>
      <c r="H453" s="8">
        <f>IFERROR((E453-F453)/E453,"")</f>
        <v/>
      </c>
      <c r="I453" s="6" t="n">
        <v>-360439.12</v>
      </c>
    </row>
    <row r="454">
      <c r="A454" t="inlineStr">
        <is>
          <t>Seremban</t>
        </is>
      </c>
      <c r="B454" t="inlineStr">
        <is>
          <t>SRB-FAB</t>
        </is>
      </c>
      <c r="C454" t="inlineStr">
        <is>
          <t>Fab Operations</t>
        </is>
      </c>
      <c r="D454" s="7" t="n">
        <v>45778</v>
      </c>
      <c r="E454" s="6" t="n">
        <v>1699381.24</v>
      </c>
      <c r="F454" s="6" t="n">
        <v>1916406.14</v>
      </c>
      <c r="G454" s="6">
        <f>E454-F454</f>
        <v/>
      </c>
      <c r="H454" s="8">
        <f>IFERROR((E454-F454)/E454,"")</f>
        <v/>
      </c>
      <c r="I454" s="6" t="n">
        <v>-577464.02</v>
      </c>
    </row>
    <row r="455">
      <c r="A455" t="inlineStr">
        <is>
          <t>Seremban</t>
        </is>
      </c>
      <c r="B455" t="inlineStr">
        <is>
          <t>SRB-FAB</t>
        </is>
      </c>
      <c r="C455" t="inlineStr">
        <is>
          <t>Fab Operations</t>
        </is>
      </c>
      <c r="D455" s="7" t="n">
        <v>45809</v>
      </c>
      <c r="E455" s="6" t="n">
        <v>1638937.18</v>
      </c>
      <c r="F455" s="6" t="n">
        <v>1949919.81</v>
      </c>
      <c r="G455" s="6">
        <f>E455-F455</f>
        <v/>
      </c>
      <c r="H455" s="8">
        <f>IFERROR((E455-F455)/E455,"")</f>
        <v/>
      </c>
      <c r="I455" s="6" t="n">
        <v>-888446.65</v>
      </c>
    </row>
    <row r="456">
      <c r="A456" t="inlineStr">
        <is>
          <t>Seremban</t>
        </is>
      </c>
      <c r="B456" t="inlineStr">
        <is>
          <t>SRB-FAB</t>
        </is>
      </c>
      <c r="C456" t="inlineStr">
        <is>
          <t>Fab Operations</t>
        </is>
      </c>
      <c r="D456" s="7" t="n">
        <v>45839</v>
      </c>
      <c r="E456" s="6" t="n">
        <v>1673241.39</v>
      </c>
      <c r="F456" s="6" t="n">
        <v>1815286.9</v>
      </c>
      <c r="G456" s="6">
        <f>E456-F456</f>
        <v/>
      </c>
      <c r="H456" s="8">
        <f>IFERROR((E456-F456)/E456,"")</f>
        <v/>
      </c>
      <c r="I456" s="6" t="n">
        <v>-1030492.16</v>
      </c>
    </row>
    <row r="457">
      <c r="A457" t="inlineStr">
        <is>
          <t>Seremban</t>
        </is>
      </c>
      <c r="B457" t="inlineStr">
        <is>
          <t>SRB-FAB</t>
        </is>
      </c>
      <c r="C457" t="inlineStr">
        <is>
          <t>Fab Operations</t>
        </is>
      </c>
      <c r="D457" s="7" t="n">
        <v>45870</v>
      </c>
      <c r="E457" s="6" t="n">
        <v>1716599.24</v>
      </c>
      <c r="F457" s="6" t="n">
        <v>1870377.54</v>
      </c>
      <c r="G457" s="6">
        <f>E457-F457</f>
        <v/>
      </c>
      <c r="H457" s="8">
        <f>IFERROR((E457-F457)/E457,"")</f>
        <v/>
      </c>
      <c r="I457" s="6" t="n">
        <v>-1184270.46</v>
      </c>
    </row>
    <row r="458">
      <c r="A458" t="inlineStr">
        <is>
          <t>Seremban</t>
        </is>
      </c>
      <c r="B458" t="inlineStr">
        <is>
          <t>SRB-FAB</t>
        </is>
      </c>
      <c r="C458" t="inlineStr">
        <is>
          <t>Fab Operations</t>
        </is>
      </c>
      <c r="D458" s="7" t="n">
        <v>45901</v>
      </c>
      <c r="E458" s="6" t="n">
        <v>1785263.6</v>
      </c>
      <c r="F458" s="6" t="n">
        <v>2045564.66</v>
      </c>
      <c r="G458" s="6">
        <f>E458-F458</f>
        <v/>
      </c>
      <c r="H458" s="8">
        <f>IFERROR((E458-F458)/E458,"")</f>
        <v/>
      </c>
      <c r="I458" s="6" t="n">
        <v>-1444571.52</v>
      </c>
    </row>
    <row r="459">
      <c r="A459" t="inlineStr">
        <is>
          <t>Seremban</t>
        </is>
      </c>
      <c r="B459" t="inlineStr">
        <is>
          <t>SRB-FAB</t>
        </is>
      </c>
      <c r="C459" t="inlineStr">
        <is>
          <t>Fab Operations</t>
        </is>
      </c>
      <c r="D459" s="7" t="n">
        <v>45931</v>
      </c>
      <c r="E459" s="6" t="n">
        <v>1818536.1</v>
      </c>
      <c r="F459" s="6" t="n">
        <v>1823539.36</v>
      </c>
      <c r="G459" s="6">
        <f>E459-F459</f>
        <v/>
      </c>
      <c r="H459" s="8">
        <f>IFERROR((E459-F459)/E459,"")</f>
        <v/>
      </c>
      <c r="I459" s="6" t="n">
        <v>-1449574.78</v>
      </c>
    </row>
    <row r="460">
      <c r="A460" t="inlineStr">
        <is>
          <t>Seremban</t>
        </is>
      </c>
      <c r="B460" t="inlineStr">
        <is>
          <t>SRB-FAB</t>
        </is>
      </c>
      <c r="C460" t="inlineStr">
        <is>
          <t>Fab Operations</t>
        </is>
      </c>
      <c r="D460" s="7" t="n">
        <v>45962</v>
      </c>
      <c r="E460" s="6" t="n">
        <v>1889580.26</v>
      </c>
      <c r="F460" s="6" t="n">
        <v>1943003.05</v>
      </c>
      <c r="G460" s="6">
        <f>E460-F460</f>
        <v/>
      </c>
      <c r="H460" s="8">
        <f>IFERROR((E460-F460)/E460,"")</f>
        <v/>
      </c>
      <c r="I460" s="6" t="n">
        <v>-1502997.57</v>
      </c>
    </row>
    <row r="461">
      <c r="A461" t="inlineStr">
        <is>
          <t>Seremban</t>
        </is>
      </c>
      <c r="B461" t="inlineStr">
        <is>
          <t>SRB-FAB</t>
        </is>
      </c>
      <c r="C461" t="inlineStr">
        <is>
          <t>Fab Operations</t>
        </is>
      </c>
      <c r="D461" s="7" t="n">
        <v>45992</v>
      </c>
      <c r="E461" s="6" t="n">
        <v>1843856.68</v>
      </c>
      <c r="F461" s="6" t="n">
        <v>1796601.89</v>
      </c>
      <c r="G461" s="6">
        <f>E461-F461</f>
        <v/>
      </c>
      <c r="H461" s="8">
        <f>IFERROR((E461-F461)/E461,"")</f>
        <v/>
      </c>
      <c r="I461" s="6" t="n">
        <v>-1455742.78</v>
      </c>
    </row>
    <row r="462">
      <c r="A462" t="inlineStr">
        <is>
          <t>Seremban</t>
        </is>
      </c>
      <c r="B462" t="inlineStr">
        <is>
          <t>SRB-FAB</t>
        </is>
      </c>
      <c r="C462" t="inlineStr">
        <is>
          <t>Fab Operations</t>
        </is>
      </c>
      <c r="D462" s="7" t="n">
        <v>46023</v>
      </c>
      <c r="E462" s="6" t="n">
        <v>1819347.93</v>
      </c>
      <c r="F462" s="6" t="n">
        <v>1900950.28</v>
      </c>
      <c r="G462" s="6">
        <f>E462-F462</f>
        <v/>
      </c>
      <c r="H462" s="8">
        <f>IFERROR((E462-F462)/E462,"")</f>
        <v/>
      </c>
      <c r="I462" s="6" t="n">
        <v>-81602.35000000001</v>
      </c>
    </row>
    <row r="463">
      <c r="A463" t="inlineStr">
        <is>
          <t>Seremban</t>
        </is>
      </c>
      <c r="B463" t="inlineStr">
        <is>
          <t>SRB-FAB</t>
        </is>
      </c>
      <c r="C463" t="inlineStr">
        <is>
          <t>Fab Operations</t>
        </is>
      </c>
      <c r="D463" s="7" t="n">
        <v>46054</v>
      </c>
      <c r="E463" s="6" t="n">
        <v>1797074.44</v>
      </c>
      <c r="F463" s="6" t="n">
        <v>1878518.44</v>
      </c>
      <c r="G463" s="6">
        <f>E463-F463</f>
        <v/>
      </c>
      <c r="H463" s="8">
        <f>IFERROR((E463-F463)/E463,"")</f>
        <v/>
      </c>
      <c r="I463" s="6" t="n">
        <v>-163046.35</v>
      </c>
    </row>
    <row r="464">
      <c r="A464" t="inlineStr">
        <is>
          <t>Seremban</t>
        </is>
      </c>
      <c r="B464" t="inlineStr">
        <is>
          <t>SRB-FAB</t>
        </is>
      </c>
      <c r="C464" t="inlineStr">
        <is>
          <t>Fab Operations</t>
        </is>
      </c>
      <c r="D464" s="7" t="n">
        <v>46082</v>
      </c>
      <c r="E464" s="6" t="n">
        <v>1724637.17</v>
      </c>
      <c r="F464" s="6" t="n">
        <v>1746017.1</v>
      </c>
      <c r="G464" s="6">
        <f>E464-F464</f>
        <v/>
      </c>
      <c r="H464" s="8">
        <f>IFERROR((E464-F464)/E464,"")</f>
        <v/>
      </c>
      <c r="I464" s="6" t="n">
        <v>-184426.28</v>
      </c>
    </row>
    <row r="465">
      <c r="A465" t="inlineStr">
        <is>
          <t>Seremban</t>
        </is>
      </c>
      <c r="B465" t="inlineStr">
        <is>
          <t>SRB-FAB</t>
        </is>
      </c>
      <c r="C465" t="inlineStr">
        <is>
          <t>Fab Operations</t>
        </is>
      </c>
      <c r="D465" s="7" t="n">
        <v>46113</v>
      </c>
      <c r="E465" s="6" t="n">
        <v>1654531.63</v>
      </c>
      <c r="F465" s="6" t="n">
        <v>1751164.33</v>
      </c>
      <c r="G465" s="6">
        <f>E465-F465</f>
        <v/>
      </c>
      <c r="H465" s="8">
        <f>IFERROR((E465-F465)/E465,"")</f>
        <v/>
      </c>
      <c r="I465" s="6" t="n">
        <v>-281058.98</v>
      </c>
    </row>
    <row r="466">
      <c r="A466" t="inlineStr">
        <is>
          <t>Seremban</t>
        </is>
      </c>
      <c r="B466" t="inlineStr">
        <is>
          <t>SRB-FAB</t>
        </is>
      </c>
      <c r="C466" t="inlineStr">
        <is>
          <t>Fab Operations</t>
        </is>
      </c>
      <c r="D466" s="7" t="n">
        <v>46143</v>
      </c>
      <c r="E466" s="6" t="n">
        <v>1596918.53</v>
      </c>
      <c r="F466" s="6" t="n">
        <v>1703533.31</v>
      </c>
      <c r="G466" s="6">
        <f>E466-F466</f>
        <v/>
      </c>
      <c r="H466" s="8">
        <f>IFERROR((E466-F466)/E466,"")</f>
        <v/>
      </c>
      <c r="I466" s="6" t="n">
        <v>-387673.76</v>
      </c>
    </row>
    <row r="467">
      <c r="A467" t="inlineStr">
        <is>
          <t>Seremban</t>
        </is>
      </c>
      <c r="B467" t="inlineStr">
        <is>
          <t>SRB-FAB</t>
        </is>
      </c>
      <c r="C467" t="inlineStr">
        <is>
          <t>Fab Operations</t>
        </is>
      </c>
      <c r="D467" s="7" t="n">
        <v>46174</v>
      </c>
      <c r="E467" s="6" t="n">
        <v>1598003.13</v>
      </c>
      <c r="F467" s="6" t="n">
        <v>1638532.04</v>
      </c>
      <c r="G467" s="6">
        <f>E467-F467</f>
        <v/>
      </c>
      <c r="H467" s="8">
        <f>IFERROR((E467-F467)/E467,"")</f>
        <v/>
      </c>
      <c r="I467" s="6" t="n">
        <v>-428202.67</v>
      </c>
    </row>
    <row r="468">
      <c r="A468" t="inlineStr">
        <is>
          <t>Seremban</t>
        </is>
      </c>
      <c r="B468" t="inlineStr">
        <is>
          <t>SRB-FAB</t>
        </is>
      </c>
      <c r="C468" t="inlineStr">
        <is>
          <t>Fab Operations</t>
        </is>
      </c>
      <c r="D468" s="7" t="n">
        <v>46204</v>
      </c>
      <c r="E468" s="6" t="n">
        <v>1644024.61</v>
      </c>
      <c r="F468" s="6" t="n">
        <v>1694054.52</v>
      </c>
      <c r="G468" s="6">
        <f>E468-F468</f>
        <v/>
      </c>
      <c r="H468" s="8">
        <f>IFERROR((E468-F468)/E468,"")</f>
        <v/>
      </c>
      <c r="I468" s="6" t="n">
        <v>-478232.58</v>
      </c>
    </row>
    <row r="469">
      <c r="A469" t="inlineStr">
        <is>
          <t>Seremban</t>
        </is>
      </c>
      <c r="B469" t="inlineStr">
        <is>
          <t>SRB-FAB</t>
        </is>
      </c>
      <c r="C469" t="inlineStr">
        <is>
          <t>Fab Operations</t>
        </is>
      </c>
      <c r="D469" s="7" t="n">
        <v>46235</v>
      </c>
      <c r="E469" s="6" t="n">
        <v>1675447.23</v>
      </c>
      <c r="F469" s="6" t="n">
        <v>1725183.76</v>
      </c>
      <c r="G469" s="6">
        <f>E469-F469</f>
        <v/>
      </c>
      <c r="H469" s="8">
        <f>IFERROR((E469-F469)/E469,"")</f>
        <v/>
      </c>
      <c r="I469" s="6" t="n">
        <v>-527969.11</v>
      </c>
    </row>
    <row r="470">
      <c r="A470" t="inlineStr">
        <is>
          <t>Seremban</t>
        </is>
      </c>
      <c r="B470" t="inlineStr">
        <is>
          <t>SRB-TNA</t>
        </is>
      </c>
      <c r="C470" t="inlineStr">
        <is>
          <t>Test &amp; Assembly</t>
        </is>
      </c>
      <c r="D470" s="7" t="n">
        <v>45170</v>
      </c>
      <c r="E470" s="6" t="n">
        <v>968058.21</v>
      </c>
      <c r="F470" s="6" t="n">
        <v>955749.96</v>
      </c>
      <c r="G470" s="6">
        <f>E470-F470</f>
        <v/>
      </c>
      <c r="H470" s="8">
        <f>IFERROR((E470-F470)/E470,"")</f>
        <v/>
      </c>
      <c r="I470" s="6" t="n">
        <v>12308.25</v>
      </c>
    </row>
    <row r="471">
      <c r="A471" t="inlineStr">
        <is>
          <t>Seremban</t>
        </is>
      </c>
      <c r="B471" t="inlineStr">
        <is>
          <t>SRB-TNA</t>
        </is>
      </c>
      <c r="C471" t="inlineStr">
        <is>
          <t>Test &amp; Assembly</t>
        </is>
      </c>
      <c r="D471" s="7" t="n">
        <v>45200</v>
      </c>
      <c r="E471" s="6" t="n">
        <v>1011539.84</v>
      </c>
      <c r="F471" s="6" t="n">
        <v>1039785.32</v>
      </c>
      <c r="G471" s="6">
        <f>E471-F471</f>
        <v/>
      </c>
      <c r="H471" s="8">
        <f>IFERROR((E471-F471)/E471,"")</f>
        <v/>
      </c>
      <c r="I471" s="6" t="n">
        <v>-15937.23</v>
      </c>
    </row>
    <row r="472">
      <c r="A472" t="inlineStr">
        <is>
          <t>Seremban</t>
        </is>
      </c>
      <c r="B472" t="inlineStr">
        <is>
          <t>SRB-TNA</t>
        </is>
      </c>
      <c r="C472" t="inlineStr">
        <is>
          <t>Test &amp; Assembly</t>
        </is>
      </c>
      <c r="D472" s="7" t="n">
        <v>45231</v>
      </c>
      <c r="E472" s="6" t="n">
        <v>1004851.35</v>
      </c>
      <c r="F472" s="6" t="n">
        <v>985206.54</v>
      </c>
      <c r="G472" s="6">
        <f>E472-F472</f>
        <v/>
      </c>
      <c r="H472" s="8">
        <f>IFERROR((E472-F472)/E472,"")</f>
        <v/>
      </c>
      <c r="I472" s="6" t="n">
        <v>3707.58</v>
      </c>
    </row>
    <row r="473">
      <c r="A473" t="inlineStr">
        <is>
          <t>Seremban</t>
        </is>
      </c>
      <c r="B473" t="inlineStr">
        <is>
          <t>SRB-TNA</t>
        </is>
      </c>
      <c r="C473" t="inlineStr">
        <is>
          <t>Test &amp; Assembly</t>
        </is>
      </c>
      <c r="D473" s="7" t="n">
        <v>45261</v>
      </c>
      <c r="E473" s="6" t="n">
        <v>1010041.53</v>
      </c>
      <c r="F473" s="6" t="n">
        <v>948528.3100000001</v>
      </c>
      <c r="G473" s="6">
        <f>E473-F473</f>
        <v/>
      </c>
      <c r="H473" s="8">
        <f>IFERROR((E473-F473)/E473,"")</f>
        <v/>
      </c>
      <c r="I473" s="6" t="n">
        <v>65220.8</v>
      </c>
    </row>
    <row r="474">
      <c r="A474" t="inlineStr">
        <is>
          <t>Seremban</t>
        </is>
      </c>
      <c r="B474" t="inlineStr">
        <is>
          <t>SRB-TNA</t>
        </is>
      </c>
      <c r="C474" t="inlineStr">
        <is>
          <t>Test &amp; Assembly</t>
        </is>
      </c>
      <c r="D474" s="7" t="n">
        <v>45292</v>
      </c>
      <c r="E474" s="6" t="n">
        <v>998995.64</v>
      </c>
      <c r="F474" s="6" t="n">
        <v>953271.38</v>
      </c>
      <c r="G474" s="6">
        <f>E474-F474</f>
        <v/>
      </c>
      <c r="H474" s="8">
        <f>IFERROR((E474-F474)/E474,"")</f>
        <v/>
      </c>
      <c r="I474" s="6" t="n">
        <v>45724.26</v>
      </c>
    </row>
    <row r="475">
      <c r="A475" t="inlineStr">
        <is>
          <t>Seremban</t>
        </is>
      </c>
      <c r="B475" t="inlineStr">
        <is>
          <t>SRB-TNA</t>
        </is>
      </c>
      <c r="C475" t="inlineStr">
        <is>
          <t>Test &amp; Assembly</t>
        </is>
      </c>
      <c r="D475" s="7" t="n">
        <v>45323</v>
      </c>
      <c r="E475" s="6" t="n">
        <v>958955.7</v>
      </c>
      <c r="F475" s="6" t="n">
        <v>919392.27</v>
      </c>
      <c r="G475" s="6">
        <f>E475-F475</f>
        <v/>
      </c>
      <c r="H475" s="8">
        <f>IFERROR((E475-F475)/E475,"")</f>
        <v/>
      </c>
      <c r="I475" s="6" t="n">
        <v>85287.69</v>
      </c>
    </row>
    <row r="476">
      <c r="A476" t="inlineStr">
        <is>
          <t>Seremban</t>
        </is>
      </c>
      <c r="B476" t="inlineStr">
        <is>
          <t>SRB-TNA</t>
        </is>
      </c>
      <c r="C476" t="inlineStr">
        <is>
          <t>Test &amp; Assembly</t>
        </is>
      </c>
      <c r="D476" s="7" t="n">
        <v>45352</v>
      </c>
      <c r="E476" s="6" t="n">
        <v>925476.01</v>
      </c>
      <c r="F476" s="6" t="n">
        <v>928568.77</v>
      </c>
      <c r="G476" s="6">
        <f>E476-F476</f>
        <v/>
      </c>
      <c r="H476" s="8">
        <f>IFERROR((E476-F476)/E476,"")</f>
        <v/>
      </c>
      <c r="I476" s="6" t="n">
        <v>82194.92999999999</v>
      </c>
    </row>
    <row r="477">
      <c r="A477" t="inlineStr">
        <is>
          <t>Seremban</t>
        </is>
      </c>
      <c r="B477" t="inlineStr">
        <is>
          <t>SRB-TNA</t>
        </is>
      </c>
      <c r="C477" t="inlineStr">
        <is>
          <t>Test &amp; Assembly</t>
        </is>
      </c>
      <c r="D477" s="7" t="n">
        <v>45383</v>
      </c>
      <c r="E477" s="6" t="n">
        <v>886942.62</v>
      </c>
      <c r="F477" s="6" t="n">
        <v>918868.71</v>
      </c>
      <c r="G477" s="6">
        <f>E477-F477</f>
        <v/>
      </c>
      <c r="H477" s="8">
        <f>IFERROR((E477-F477)/E477,"")</f>
        <v/>
      </c>
      <c r="I477" s="6" t="n">
        <v>50268.84</v>
      </c>
    </row>
    <row r="478">
      <c r="A478" t="inlineStr">
        <is>
          <t>Seremban</t>
        </is>
      </c>
      <c r="B478" t="inlineStr">
        <is>
          <t>SRB-TNA</t>
        </is>
      </c>
      <c r="C478" t="inlineStr">
        <is>
          <t>Test &amp; Assembly</t>
        </is>
      </c>
      <c r="D478" s="7" t="n">
        <v>45413</v>
      </c>
      <c r="E478" s="6" t="n">
        <v>860452.8100000001</v>
      </c>
      <c r="F478" s="6" t="n">
        <v>891045.73</v>
      </c>
      <c r="G478" s="6">
        <f>E478-F478</f>
        <v/>
      </c>
      <c r="H478" s="8">
        <f>IFERROR((E478-F478)/E478,"")</f>
        <v/>
      </c>
      <c r="I478" s="6" t="n">
        <v>19675.92</v>
      </c>
    </row>
    <row r="479">
      <c r="A479" t="inlineStr">
        <is>
          <t>Seremban</t>
        </is>
      </c>
      <c r="B479" t="inlineStr">
        <is>
          <t>SRB-TNA</t>
        </is>
      </c>
      <c r="C479" t="inlineStr">
        <is>
          <t>Test &amp; Assembly</t>
        </is>
      </c>
      <c r="D479" s="7" t="n">
        <v>45444</v>
      </c>
      <c r="E479" s="6" t="n">
        <v>863123.03</v>
      </c>
      <c r="F479" s="6" t="n">
        <v>832089.3100000001</v>
      </c>
      <c r="G479" s="6">
        <f>E479-F479</f>
        <v/>
      </c>
      <c r="H479" s="8">
        <f>IFERROR((E479-F479)/E479,"")</f>
        <v/>
      </c>
      <c r="I479" s="6" t="n">
        <v>50709.64</v>
      </c>
    </row>
    <row r="480">
      <c r="A480" t="inlineStr">
        <is>
          <t>Seremban</t>
        </is>
      </c>
      <c r="B480" t="inlineStr">
        <is>
          <t>SRB-TNA</t>
        </is>
      </c>
      <c r="C480" t="inlineStr">
        <is>
          <t>Test &amp; Assembly</t>
        </is>
      </c>
      <c r="D480" s="7" t="n">
        <v>45474</v>
      </c>
      <c r="E480" s="6" t="n">
        <v>883604.35</v>
      </c>
      <c r="F480" s="6" t="n">
        <v>836479.88</v>
      </c>
      <c r="G480" s="6">
        <f>E480-F480</f>
        <v/>
      </c>
      <c r="H480" s="8">
        <f>IFERROR((E480-F480)/E480,"")</f>
        <v/>
      </c>
      <c r="I480" s="6" t="n">
        <v>97834.11</v>
      </c>
    </row>
    <row r="481">
      <c r="A481" t="inlineStr">
        <is>
          <t>Seremban</t>
        </is>
      </c>
      <c r="B481" t="inlineStr">
        <is>
          <t>SRB-TNA</t>
        </is>
      </c>
      <c r="C481" t="inlineStr">
        <is>
          <t>Test &amp; Assembly</t>
        </is>
      </c>
      <c r="D481" s="7" t="n">
        <v>45505</v>
      </c>
      <c r="E481" s="6" t="n">
        <v>914590.0600000001</v>
      </c>
      <c r="F481" s="6" t="n">
        <v>897255.4300000001</v>
      </c>
      <c r="G481" s="6">
        <f>E481-F481</f>
        <v/>
      </c>
      <c r="H481" s="8">
        <f>IFERROR((E481-F481)/E481,"")</f>
        <v/>
      </c>
      <c r="I481" s="6" t="n">
        <v>115168.74</v>
      </c>
    </row>
    <row r="482">
      <c r="A482" t="inlineStr">
        <is>
          <t>Seremban</t>
        </is>
      </c>
      <c r="B482" t="inlineStr">
        <is>
          <t>SRB-TNA</t>
        </is>
      </c>
      <c r="C482" t="inlineStr">
        <is>
          <t>Test &amp; Assembly</t>
        </is>
      </c>
      <c r="D482" s="7" t="n">
        <v>45536</v>
      </c>
      <c r="E482" s="6" t="n">
        <v>954485.2</v>
      </c>
      <c r="F482" s="6" t="n">
        <v>872130.3</v>
      </c>
      <c r="G482" s="6">
        <f>E482-F482</f>
        <v/>
      </c>
      <c r="H482" s="8">
        <f>IFERROR((E482-F482)/E482,"")</f>
        <v/>
      </c>
      <c r="I482" s="6" t="n">
        <v>197523.64</v>
      </c>
    </row>
    <row r="483">
      <c r="A483" t="inlineStr">
        <is>
          <t>Seremban</t>
        </is>
      </c>
      <c r="B483" t="inlineStr">
        <is>
          <t>SRB-TNA</t>
        </is>
      </c>
      <c r="C483" t="inlineStr">
        <is>
          <t>Test &amp; Assembly</t>
        </is>
      </c>
      <c r="D483" s="7" t="n">
        <v>45566</v>
      </c>
      <c r="E483" s="6" t="n">
        <v>956827.4</v>
      </c>
      <c r="F483" s="6" t="n">
        <v>898299.75</v>
      </c>
      <c r="G483" s="6">
        <f>E483-F483</f>
        <v/>
      </c>
      <c r="H483" s="8">
        <f>IFERROR((E483-F483)/E483,"")</f>
        <v/>
      </c>
      <c r="I483" s="6" t="n">
        <v>256051.29</v>
      </c>
    </row>
    <row r="484">
      <c r="A484" t="inlineStr">
        <is>
          <t>Seremban</t>
        </is>
      </c>
      <c r="B484" t="inlineStr">
        <is>
          <t>SRB-TNA</t>
        </is>
      </c>
      <c r="C484" t="inlineStr">
        <is>
          <t>Test &amp; Assembly</t>
        </is>
      </c>
      <c r="D484" s="7" t="n">
        <v>45597</v>
      </c>
      <c r="E484" s="6" t="n">
        <v>967697.49</v>
      </c>
      <c r="F484" s="6" t="n">
        <v>871607.77</v>
      </c>
      <c r="G484" s="6">
        <f>E484-F484</f>
        <v/>
      </c>
      <c r="H484" s="8">
        <f>IFERROR((E484-F484)/E484,"")</f>
        <v/>
      </c>
      <c r="I484" s="6" t="n">
        <v>352141.01</v>
      </c>
    </row>
    <row r="485">
      <c r="A485" t="inlineStr">
        <is>
          <t>Seremban</t>
        </is>
      </c>
      <c r="B485" t="inlineStr">
        <is>
          <t>SRB-TNA</t>
        </is>
      </c>
      <c r="C485" t="inlineStr">
        <is>
          <t>Test &amp; Assembly</t>
        </is>
      </c>
      <c r="D485" s="7" t="n">
        <v>45627</v>
      </c>
      <c r="E485" s="6" t="n">
        <v>967990.21</v>
      </c>
      <c r="F485" s="6" t="n">
        <v>902473.98</v>
      </c>
      <c r="G485" s="6">
        <f>E485-F485</f>
        <v/>
      </c>
      <c r="H485" s="8">
        <f>IFERROR((E485-F485)/E485,"")</f>
        <v/>
      </c>
      <c r="I485" s="6" t="n">
        <v>417657.24</v>
      </c>
    </row>
    <row r="486">
      <c r="A486" t="inlineStr">
        <is>
          <t>Seremban</t>
        </is>
      </c>
      <c r="B486" t="inlineStr">
        <is>
          <t>SRB-TNA</t>
        </is>
      </c>
      <c r="C486" t="inlineStr">
        <is>
          <t>Test &amp; Assembly</t>
        </is>
      </c>
      <c r="D486" s="7" t="n">
        <v>45658</v>
      </c>
      <c r="E486" s="6" t="n">
        <v>969799.41</v>
      </c>
      <c r="F486" s="6" t="n">
        <v>932885.25</v>
      </c>
      <c r="G486" s="6">
        <f>E486-F486</f>
        <v/>
      </c>
      <c r="H486" s="8">
        <f>IFERROR((E486-F486)/E486,"")</f>
        <v/>
      </c>
      <c r="I486" s="6" t="n">
        <v>36914.16</v>
      </c>
    </row>
    <row r="487">
      <c r="A487" t="inlineStr">
        <is>
          <t>Seremban</t>
        </is>
      </c>
      <c r="B487" t="inlineStr">
        <is>
          <t>SRB-TNA</t>
        </is>
      </c>
      <c r="C487" t="inlineStr">
        <is>
          <t>Test &amp; Assembly</t>
        </is>
      </c>
      <c r="D487" s="7" t="n">
        <v>45689</v>
      </c>
      <c r="E487" s="6" t="n">
        <v>938329.97</v>
      </c>
      <c r="F487" s="6" t="n">
        <v>857159.3199999999</v>
      </c>
      <c r="G487" s="6">
        <f>E487-F487</f>
        <v/>
      </c>
      <c r="H487" s="8">
        <f>IFERROR((E487-F487)/E487,"")</f>
        <v/>
      </c>
      <c r="I487" s="6" t="n">
        <v>118084.81</v>
      </c>
    </row>
    <row r="488">
      <c r="A488" t="inlineStr">
        <is>
          <t>Seremban</t>
        </is>
      </c>
      <c r="B488" t="inlineStr">
        <is>
          <t>SRB-TNA</t>
        </is>
      </c>
      <c r="C488" t="inlineStr">
        <is>
          <t>Test &amp; Assembly</t>
        </is>
      </c>
      <c r="D488" s="7" t="n">
        <v>45717</v>
      </c>
      <c r="E488" s="6" t="n">
        <v>895100.76</v>
      </c>
      <c r="F488" s="6" t="n">
        <v>821411.0600000001</v>
      </c>
      <c r="G488" s="6">
        <f>E488-F488</f>
        <v/>
      </c>
      <c r="H488" s="8">
        <f>IFERROR((E488-F488)/E488,"")</f>
        <v/>
      </c>
      <c r="I488" s="6" t="n">
        <v>191774.51</v>
      </c>
    </row>
    <row r="489">
      <c r="A489" t="inlineStr">
        <is>
          <t>Seremban</t>
        </is>
      </c>
      <c r="B489" t="inlineStr">
        <is>
          <t>SRB-TNA</t>
        </is>
      </c>
      <c r="C489" t="inlineStr">
        <is>
          <t>Test &amp; Assembly</t>
        </is>
      </c>
      <c r="D489" s="7" t="n">
        <v>45748</v>
      </c>
      <c r="E489" s="6" t="n">
        <v>852162.58</v>
      </c>
      <c r="F489" s="6" t="n">
        <v>830676.78</v>
      </c>
      <c r="G489" s="6">
        <f>E489-F489</f>
        <v/>
      </c>
      <c r="H489" s="8">
        <f>IFERROR((E489-F489)/E489,"")</f>
        <v/>
      </c>
      <c r="I489" s="6" t="n">
        <v>213260.31</v>
      </c>
    </row>
    <row r="490">
      <c r="A490" t="inlineStr">
        <is>
          <t>Seremban</t>
        </is>
      </c>
      <c r="B490" t="inlineStr">
        <is>
          <t>SRB-TNA</t>
        </is>
      </c>
      <c r="C490" t="inlineStr">
        <is>
          <t>Test &amp; Assembly</t>
        </is>
      </c>
      <c r="D490" s="7" t="n">
        <v>45778</v>
      </c>
      <c r="E490" s="6" t="n">
        <v>830258.59</v>
      </c>
      <c r="F490" s="6" t="n">
        <v>820540.33</v>
      </c>
      <c r="G490" s="6">
        <f>E490-F490</f>
        <v/>
      </c>
      <c r="H490" s="8">
        <f>IFERROR((E490-F490)/E490,"")</f>
        <v/>
      </c>
      <c r="I490" s="6" t="n">
        <v>222978.57</v>
      </c>
    </row>
    <row r="491">
      <c r="A491" t="inlineStr">
        <is>
          <t>Seremban</t>
        </is>
      </c>
      <c r="B491" t="inlineStr">
        <is>
          <t>SRB-TNA</t>
        </is>
      </c>
      <c r="C491" t="inlineStr">
        <is>
          <t>Test &amp; Assembly</t>
        </is>
      </c>
      <c r="D491" s="7" t="n">
        <v>45809</v>
      </c>
      <c r="E491" s="6" t="n">
        <v>825318.25</v>
      </c>
      <c r="F491" s="6" t="n">
        <v>900882.95</v>
      </c>
      <c r="G491" s="6">
        <f>E491-F491</f>
        <v/>
      </c>
      <c r="H491" s="8">
        <f>IFERROR((E491-F491)/E491,"")</f>
        <v/>
      </c>
      <c r="I491" s="6" t="n">
        <v>147413.87</v>
      </c>
    </row>
    <row r="492">
      <c r="A492" t="inlineStr">
        <is>
          <t>Seremban</t>
        </is>
      </c>
      <c r="B492" t="inlineStr">
        <is>
          <t>SRB-TNA</t>
        </is>
      </c>
      <c r="C492" t="inlineStr">
        <is>
          <t>Test &amp; Assembly</t>
        </is>
      </c>
      <c r="D492" s="7" t="n">
        <v>45839</v>
      </c>
      <c r="E492" s="6" t="n">
        <v>860788.9</v>
      </c>
      <c r="F492" s="6" t="n">
        <v>839022.4399999999</v>
      </c>
      <c r="G492" s="6">
        <f>E492-F492</f>
        <v/>
      </c>
      <c r="H492" s="8">
        <f>IFERROR((E492-F492)/E492,"")</f>
        <v/>
      </c>
      <c r="I492" s="6" t="n">
        <v>169180.33</v>
      </c>
    </row>
    <row r="493">
      <c r="A493" t="inlineStr">
        <is>
          <t>Seremban</t>
        </is>
      </c>
      <c r="B493" t="inlineStr">
        <is>
          <t>SRB-TNA</t>
        </is>
      </c>
      <c r="C493" t="inlineStr">
        <is>
          <t>Test &amp; Assembly</t>
        </is>
      </c>
      <c r="D493" s="7" t="n">
        <v>45870</v>
      </c>
      <c r="E493" s="6" t="n">
        <v>882481.48</v>
      </c>
      <c r="F493" s="6" t="n">
        <v>918886.28</v>
      </c>
      <c r="G493" s="6">
        <f>E493-F493</f>
        <v/>
      </c>
      <c r="H493" s="8">
        <f>IFERROR((E493-F493)/E493,"")</f>
        <v/>
      </c>
      <c r="I493" s="6" t="n">
        <v>132775.53</v>
      </c>
    </row>
    <row r="494">
      <c r="A494" t="inlineStr">
        <is>
          <t>Seremban</t>
        </is>
      </c>
      <c r="B494" t="inlineStr">
        <is>
          <t>SRB-TNA</t>
        </is>
      </c>
      <c r="C494" t="inlineStr">
        <is>
          <t>Test &amp; Assembly</t>
        </is>
      </c>
      <c r="D494" s="7" t="n">
        <v>45901</v>
      </c>
      <c r="E494" s="6" t="n">
        <v>907266.87</v>
      </c>
      <c r="F494" s="6" t="n">
        <v>867119.3199999999</v>
      </c>
      <c r="G494" s="6">
        <f>E494-F494</f>
        <v/>
      </c>
      <c r="H494" s="8">
        <f>IFERROR((E494-F494)/E494,"")</f>
        <v/>
      </c>
      <c r="I494" s="6" t="n">
        <v>172923.08</v>
      </c>
    </row>
    <row r="495">
      <c r="A495" t="inlineStr">
        <is>
          <t>Seremban</t>
        </is>
      </c>
      <c r="B495" t="inlineStr">
        <is>
          <t>SRB-TNA</t>
        </is>
      </c>
      <c r="C495" t="inlineStr">
        <is>
          <t>Test &amp; Assembly</t>
        </is>
      </c>
      <c r="D495" s="7" t="n">
        <v>45931</v>
      </c>
      <c r="E495" s="6" t="n">
        <v>923467.96</v>
      </c>
      <c r="F495" s="6" t="n">
        <v>830860.9</v>
      </c>
      <c r="G495" s="6">
        <f>E495-F495</f>
        <v/>
      </c>
      <c r="H495" s="8">
        <f>IFERROR((E495-F495)/E495,"")</f>
        <v/>
      </c>
      <c r="I495" s="6" t="n">
        <v>265530.14</v>
      </c>
    </row>
    <row r="496">
      <c r="A496" t="inlineStr">
        <is>
          <t>Seremban</t>
        </is>
      </c>
      <c r="B496" t="inlineStr">
        <is>
          <t>SRB-TNA</t>
        </is>
      </c>
      <c r="C496" t="inlineStr">
        <is>
          <t>Test &amp; Assembly</t>
        </is>
      </c>
      <c r="D496" s="7" t="n">
        <v>45962</v>
      </c>
      <c r="E496" s="6" t="n">
        <v>947777.98</v>
      </c>
      <c r="F496" s="6" t="n">
        <v>895180.73</v>
      </c>
      <c r="G496" s="6">
        <f>E496-F496</f>
        <v/>
      </c>
      <c r="H496" s="8">
        <f>IFERROR((E496-F496)/E496,"")</f>
        <v/>
      </c>
      <c r="I496" s="6" t="n">
        <v>318127.39</v>
      </c>
    </row>
    <row r="497">
      <c r="A497" t="inlineStr">
        <is>
          <t>Seremban</t>
        </is>
      </c>
      <c r="B497" t="inlineStr">
        <is>
          <t>SRB-TNA</t>
        </is>
      </c>
      <c r="C497" t="inlineStr">
        <is>
          <t>Test &amp; Assembly</t>
        </is>
      </c>
      <c r="D497" s="7" t="n">
        <v>45992</v>
      </c>
      <c r="E497" s="6" t="n">
        <v>946589.02</v>
      </c>
      <c r="F497" s="6" t="n">
        <v>873665.37</v>
      </c>
      <c r="G497" s="6">
        <f>E497-F497</f>
        <v/>
      </c>
      <c r="H497" s="8">
        <f>IFERROR((E497-F497)/E497,"")</f>
        <v/>
      </c>
      <c r="I497" s="6" t="n">
        <v>391051.04</v>
      </c>
    </row>
    <row r="498">
      <c r="A498" t="inlineStr">
        <is>
          <t>Seremban</t>
        </is>
      </c>
      <c r="B498" t="inlineStr">
        <is>
          <t>SRB-TNA</t>
        </is>
      </c>
      <c r="C498" t="inlineStr">
        <is>
          <t>Test &amp; Assembly</t>
        </is>
      </c>
      <c r="D498" s="7" t="n">
        <v>46023</v>
      </c>
      <c r="E498" s="6" t="n">
        <v>918175.12</v>
      </c>
      <c r="F498" s="6" t="n">
        <v>837058.0600000001</v>
      </c>
      <c r="G498" s="6">
        <f>E498-F498</f>
        <v/>
      </c>
      <c r="H498" s="8">
        <f>IFERROR((E498-F498)/E498,"")</f>
        <v/>
      </c>
      <c r="I498" s="6" t="n">
        <v>81117.06</v>
      </c>
    </row>
    <row r="499">
      <c r="A499" t="inlineStr">
        <is>
          <t>Seremban</t>
        </is>
      </c>
      <c r="B499" t="inlineStr">
        <is>
          <t>SRB-TNA</t>
        </is>
      </c>
      <c r="C499" t="inlineStr">
        <is>
          <t>Test &amp; Assembly</t>
        </is>
      </c>
      <c r="D499" s="7" t="n">
        <v>46054</v>
      </c>
      <c r="E499" s="6" t="n">
        <v>894577.65</v>
      </c>
      <c r="F499" s="6" t="n">
        <v>820769.23</v>
      </c>
      <c r="G499" s="6">
        <f>E499-F499</f>
        <v/>
      </c>
      <c r="H499" s="8">
        <f>IFERROR((E499-F499)/E499,"")</f>
        <v/>
      </c>
      <c r="I499" s="6" t="n">
        <v>154925.48</v>
      </c>
    </row>
    <row r="500">
      <c r="A500" t="inlineStr">
        <is>
          <t>Seremban</t>
        </is>
      </c>
      <c r="B500" t="inlineStr">
        <is>
          <t>SRB-TNA</t>
        </is>
      </c>
      <c r="C500" t="inlineStr">
        <is>
          <t>Test &amp; Assembly</t>
        </is>
      </c>
      <c r="D500" s="7" t="n">
        <v>46082</v>
      </c>
      <c r="E500" s="6" t="n">
        <v>862796.64</v>
      </c>
      <c r="F500" s="6" t="n">
        <v>830182.11</v>
      </c>
      <c r="G500" s="6">
        <f>E500-F500</f>
        <v/>
      </c>
      <c r="H500" s="8">
        <f>IFERROR((E500-F500)/E500,"")</f>
        <v/>
      </c>
      <c r="I500" s="6" t="n">
        <v>187540.01</v>
      </c>
    </row>
    <row r="501">
      <c r="A501" t="inlineStr">
        <is>
          <t>Seremban</t>
        </is>
      </c>
      <c r="B501" t="inlineStr">
        <is>
          <t>SRB-TNA</t>
        </is>
      </c>
      <c r="C501" t="inlineStr">
        <is>
          <t>Test &amp; Assembly</t>
        </is>
      </c>
      <c r="D501" s="7" t="n">
        <v>46113</v>
      </c>
      <c r="E501" s="6" t="n">
        <v>820701.74</v>
      </c>
      <c r="F501" s="6" t="n">
        <v>748773.75</v>
      </c>
      <c r="G501" s="6">
        <f>E501-F501</f>
        <v/>
      </c>
      <c r="H501" s="8">
        <f>IFERROR((E501-F501)/E501,"")</f>
        <v/>
      </c>
      <c r="I501" s="6" t="n">
        <v>259468</v>
      </c>
    </row>
    <row r="502">
      <c r="A502" t="inlineStr">
        <is>
          <t>Seremban</t>
        </is>
      </c>
      <c r="B502" t="inlineStr">
        <is>
          <t>SRB-TNA</t>
        </is>
      </c>
      <c r="C502" t="inlineStr">
        <is>
          <t>Test &amp; Assembly</t>
        </is>
      </c>
      <c r="D502" s="7" t="n">
        <v>46143</v>
      </c>
      <c r="E502" s="6" t="n">
        <v>809656.41</v>
      </c>
      <c r="F502" s="6" t="n">
        <v>795370.91</v>
      </c>
      <c r="G502" s="6">
        <f>E502-F502</f>
        <v/>
      </c>
      <c r="H502" s="8">
        <f>IFERROR((E502-F502)/E502,"")</f>
        <v/>
      </c>
      <c r="I502" s="6" t="n">
        <v>273753.5</v>
      </c>
    </row>
    <row r="503">
      <c r="A503" t="inlineStr">
        <is>
          <t>Seremban</t>
        </is>
      </c>
      <c r="B503" t="inlineStr">
        <is>
          <t>SRB-TNA</t>
        </is>
      </c>
      <c r="C503" t="inlineStr">
        <is>
          <t>Test &amp; Assembly</t>
        </is>
      </c>
      <c r="D503" s="7" t="n">
        <v>46174</v>
      </c>
      <c r="E503" s="6" t="n">
        <v>797044.91</v>
      </c>
      <c r="F503" s="6" t="n">
        <v>732243.14</v>
      </c>
      <c r="G503" s="6">
        <f>E503-F503</f>
        <v/>
      </c>
      <c r="H503" s="8">
        <f>IFERROR((E503-F503)/E503,"")</f>
        <v/>
      </c>
      <c r="I503" s="6" t="n">
        <v>338555.27</v>
      </c>
    </row>
    <row r="504">
      <c r="A504" t="inlineStr">
        <is>
          <t>Seremban</t>
        </is>
      </c>
      <c r="B504" t="inlineStr">
        <is>
          <t>SRB-TNA</t>
        </is>
      </c>
      <c r="C504" t="inlineStr">
        <is>
          <t>Test &amp; Assembly</t>
        </is>
      </c>
      <c r="D504" s="7" t="n">
        <v>46204</v>
      </c>
      <c r="E504" s="6" t="n">
        <v>812401.91</v>
      </c>
      <c r="F504" s="6" t="n">
        <v>768169.4</v>
      </c>
      <c r="G504" s="6">
        <f>E504-F504</f>
        <v/>
      </c>
      <c r="H504" s="8">
        <f>IFERROR((E504-F504)/E504,"")</f>
        <v/>
      </c>
      <c r="I504" s="6" t="n">
        <v>382787.78</v>
      </c>
    </row>
    <row r="505">
      <c r="A505" t="inlineStr">
        <is>
          <t>Seremban</t>
        </is>
      </c>
      <c r="B505" t="inlineStr">
        <is>
          <t>SRB-TNA</t>
        </is>
      </c>
      <c r="C505" t="inlineStr">
        <is>
          <t>Test &amp; Assembly</t>
        </is>
      </c>
      <c r="D505" s="7" t="n">
        <v>46235</v>
      </c>
      <c r="E505" s="6" t="n">
        <v>837443.58</v>
      </c>
      <c r="F505" s="6" t="n">
        <v>808486.84</v>
      </c>
      <c r="G505" s="6">
        <f>E505-F505</f>
        <v/>
      </c>
      <c r="H505" s="8">
        <f>IFERROR((E505-F505)/E505,"")</f>
        <v/>
      </c>
      <c r="I505" s="6" t="n">
        <v>411744.52</v>
      </c>
    </row>
    <row r="506">
      <c r="A506" t="inlineStr">
        <is>
          <t>Seremban</t>
        </is>
      </c>
      <c r="B506" t="inlineStr">
        <is>
          <t>SRB-FAC</t>
        </is>
      </c>
      <c r="C506" t="inlineStr">
        <is>
          <t>Facilities</t>
        </is>
      </c>
      <c r="D506" s="7" t="n">
        <v>45170</v>
      </c>
      <c r="E506" s="6" t="n">
        <v>638600.85</v>
      </c>
      <c r="F506" s="6" t="n">
        <v>659683.8199999999</v>
      </c>
      <c r="G506" s="6">
        <f>E506-F506</f>
        <v/>
      </c>
      <c r="H506" s="8">
        <f>IFERROR((E506-F506)/E506,"")</f>
        <v/>
      </c>
      <c r="I506" s="6" t="n">
        <v>-21082.97</v>
      </c>
    </row>
    <row r="507">
      <c r="A507" t="inlineStr">
        <is>
          <t>Seremban</t>
        </is>
      </c>
      <c r="B507" t="inlineStr">
        <is>
          <t>SRB-FAC</t>
        </is>
      </c>
      <c r="C507" t="inlineStr">
        <is>
          <t>Facilities</t>
        </is>
      </c>
      <c r="D507" s="7" t="n">
        <v>45200</v>
      </c>
      <c r="E507" s="6" t="n">
        <v>657463.78</v>
      </c>
      <c r="F507" s="6" t="n">
        <v>720639.89</v>
      </c>
      <c r="G507" s="6">
        <f>E507-F507</f>
        <v/>
      </c>
      <c r="H507" s="8">
        <f>IFERROR((E507-F507)/E507,"")</f>
        <v/>
      </c>
      <c r="I507" s="6" t="n">
        <v>-84259.08</v>
      </c>
    </row>
    <row r="508">
      <c r="A508" t="inlineStr">
        <is>
          <t>Seremban</t>
        </is>
      </c>
      <c r="B508" t="inlineStr">
        <is>
          <t>SRB-FAC</t>
        </is>
      </c>
      <c r="C508" t="inlineStr">
        <is>
          <t>Facilities</t>
        </is>
      </c>
      <c r="D508" s="7" t="n">
        <v>45231</v>
      </c>
      <c r="E508" s="6" t="n">
        <v>690276.92</v>
      </c>
      <c r="F508" s="6" t="n">
        <v>733878.85</v>
      </c>
      <c r="G508" s="6">
        <f>E508-F508</f>
        <v/>
      </c>
      <c r="H508" s="8">
        <f>IFERROR((E508-F508)/E508,"")</f>
        <v/>
      </c>
      <c r="I508" s="6" t="n">
        <v>-127861.01</v>
      </c>
    </row>
    <row r="509">
      <c r="A509" t="inlineStr">
        <is>
          <t>Seremban</t>
        </is>
      </c>
      <c r="B509" t="inlineStr">
        <is>
          <t>SRB-FAC</t>
        </is>
      </c>
      <c r="C509" t="inlineStr">
        <is>
          <t>Facilities</t>
        </is>
      </c>
      <c r="D509" s="7" t="n">
        <v>45261</v>
      </c>
      <c r="E509" s="6" t="n">
        <v>708229.53</v>
      </c>
      <c r="F509" s="6" t="n">
        <v>691098.74</v>
      </c>
      <c r="G509" s="6">
        <f>E509-F509</f>
        <v/>
      </c>
      <c r="H509" s="8">
        <f>IFERROR((E509-F509)/E509,"")</f>
        <v/>
      </c>
      <c r="I509" s="6" t="n">
        <v>-110730.22</v>
      </c>
    </row>
    <row r="510">
      <c r="A510" t="inlineStr">
        <is>
          <t>Seremban</t>
        </is>
      </c>
      <c r="B510" t="inlineStr">
        <is>
          <t>SRB-FAC</t>
        </is>
      </c>
      <c r="C510" t="inlineStr">
        <is>
          <t>Facilities</t>
        </is>
      </c>
      <c r="D510" s="7" t="n">
        <v>45292</v>
      </c>
      <c r="E510" s="6" t="n">
        <v>691804.36</v>
      </c>
      <c r="F510" s="6" t="n">
        <v>747146.92</v>
      </c>
      <c r="G510" s="6">
        <f>E510-F510</f>
        <v/>
      </c>
      <c r="H510" s="8">
        <f>IFERROR((E510-F510)/E510,"")</f>
        <v/>
      </c>
      <c r="I510" s="6" t="n">
        <v>-55342.56</v>
      </c>
    </row>
    <row r="511">
      <c r="A511" t="inlineStr">
        <is>
          <t>Seremban</t>
        </is>
      </c>
      <c r="B511" t="inlineStr">
        <is>
          <t>SRB-FAC</t>
        </is>
      </c>
      <c r="C511" t="inlineStr">
        <is>
          <t>Facilities</t>
        </is>
      </c>
      <c r="D511" s="7" t="n">
        <v>45323</v>
      </c>
      <c r="E511" s="6" t="n">
        <v>654190.88</v>
      </c>
      <c r="F511" s="6" t="n">
        <v>726319.96</v>
      </c>
      <c r="G511" s="6">
        <f>E511-F511</f>
        <v/>
      </c>
      <c r="H511" s="8">
        <f>IFERROR((E511-F511)/E511,"")</f>
        <v/>
      </c>
      <c r="I511" s="6" t="n">
        <v>-127471.64</v>
      </c>
    </row>
    <row r="512">
      <c r="A512" t="inlineStr">
        <is>
          <t>Seremban</t>
        </is>
      </c>
      <c r="B512" t="inlineStr">
        <is>
          <t>SRB-FAC</t>
        </is>
      </c>
      <c r="C512" t="inlineStr">
        <is>
          <t>Facilities</t>
        </is>
      </c>
      <c r="D512" s="7" t="n">
        <v>45352</v>
      </c>
      <c r="E512" s="6" t="n">
        <v>608824.16</v>
      </c>
      <c r="F512" s="6" t="n">
        <v>673015.63</v>
      </c>
      <c r="G512" s="6">
        <f>E512-F512</f>
        <v/>
      </c>
      <c r="H512" s="8">
        <f>IFERROR((E512-F512)/E512,"")</f>
        <v/>
      </c>
      <c r="I512" s="6" t="n">
        <v>-191663.11</v>
      </c>
    </row>
    <row r="513">
      <c r="A513" t="inlineStr">
        <is>
          <t>Seremban</t>
        </is>
      </c>
      <c r="B513" t="inlineStr">
        <is>
          <t>SRB-FAC</t>
        </is>
      </c>
      <c r="C513" t="inlineStr">
        <is>
          <t>Facilities</t>
        </is>
      </c>
      <c r="D513" s="7" t="n">
        <v>45383</v>
      </c>
      <c r="E513" s="6" t="n">
        <v>582948.95</v>
      </c>
      <c r="F513" s="6" t="n">
        <v>620266.8199999999</v>
      </c>
      <c r="G513" s="6">
        <f>E513-F513</f>
        <v/>
      </c>
      <c r="H513" s="8">
        <f>IFERROR((E513-F513)/E513,"")</f>
        <v/>
      </c>
      <c r="I513" s="6" t="n">
        <v>-228980.98</v>
      </c>
    </row>
    <row r="514">
      <c r="A514" t="inlineStr">
        <is>
          <t>Seremban</t>
        </is>
      </c>
      <c r="B514" t="inlineStr">
        <is>
          <t>SRB-FAC</t>
        </is>
      </c>
      <c r="C514" t="inlineStr">
        <is>
          <t>Facilities</t>
        </is>
      </c>
      <c r="D514" s="7" t="n">
        <v>45413</v>
      </c>
      <c r="E514" s="6" t="n">
        <v>570237.9</v>
      </c>
      <c r="F514" s="6" t="n">
        <v>598735.63</v>
      </c>
      <c r="G514" s="6">
        <f>E514-F514</f>
        <v/>
      </c>
      <c r="H514" s="8">
        <f>IFERROR((E514-F514)/E514,"")</f>
        <v/>
      </c>
      <c r="I514" s="6" t="n">
        <v>-257478.71</v>
      </c>
    </row>
    <row r="515">
      <c r="A515" t="inlineStr">
        <is>
          <t>Seremban</t>
        </is>
      </c>
      <c r="B515" t="inlineStr">
        <is>
          <t>SRB-FAC</t>
        </is>
      </c>
      <c r="C515" t="inlineStr">
        <is>
          <t>Facilities</t>
        </is>
      </c>
      <c r="D515" s="7" t="n">
        <v>45444</v>
      </c>
      <c r="E515" s="6" t="n">
        <v>558455.65</v>
      </c>
      <c r="F515" s="6" t="n">
        <v>629081.34</v>
      </c>
      <c r="G515" s="6">
        <f>E515-F515</f>
        <v/>
      </c>
      <c r="H515" s="8">
        <f>IFERROR((E515-F515)/E515,"")</f>
        <v/>
      </c>
      <c r="I515" s="6" t="n">
        <v>-328104.4</v>
      </c>
    </row>
    <row r="516">
      <c r="A516" t="inlineStr">
        <is>
          <t>Seremban</t>
        </is>
      </c>
      <c r="B516" t="inlineStr">
        <is>
          <t>SRB-FAC</t>
        </is>
      </c>
      <c r="C516" t="inlineStr">
        <is>
          <t>Facilities</t>
        </is>
      </c>
      <c r="D516" s="7" t="n">
        <v>45474</v>
      </c>
      <c r="E516" s="6" t="n">
        <v>601959.26</v>
      </c>
      <c r="F516" s="6" t="n">
        <v>625445.3</v>
      </c>
      <c r="G516" s="6">
        <f>E516-F516</f>
        <v/>
      </c>
      <c r="H516" s="8">
        <f>IFERROR((E516-F516)/E516,"")</f>
        <v/>
      </c>
      <c r="I516" s="6" t="n">
        <v>-351590.44</v>
      </c>
    </row>
    <row r="517">
      <c r="A517" t="inlineStr">
        <is>
          <t>Seremban</t>
        </is>
      </c>
      <c r="B517" t="inlineStr">
        <is>
          <t>SRB-FAC</t>
        </is>
      </c>
      <c r="C517" t="inlineStr">
        <is>
          <t>Facilities</t>
        </is>
      </c>
      <c r="D517" s="7" t="n">
        <v>45505</v>
      </c>
      <c r="E517" s="6" t="n">
        <v>608984.8199999999</v>
      </c>
      <c r="F517" s="6" t="n">
        <v>668602.12</v>
      </c>
      <c r="G517" s="6">
        <f>E517-F517</f>
        <v/>
      </c>
      <c r="H517" s="8">
        <f>IFERROR((E517-F517)/E517,"")</f>
        <v/>
      </c>
      <c r="I517" s="6" t="n">
        <v>-411207.74</v>
      </c>
    </row>
    <row r="518">
      <c r="A518" t="inlineStr">
        <is>
          <t>Seremban</t>
        </is>
      </c>
      <c r="B518" t="inlineStr">
        <is>
          <t>SRB-FAC</t>
        </is>
      </c>
      <c r="C518" t="inlineStr">
        <is>
          <t>Facilities</t>
        </is>
      </c>
      <c r="D518" s="7" t="n">
        <v>45536</v>
      </c>
      <c r="E518" s="6" t="n">
        <v>591997.37</v>
      </c>
      <c r="F518" s="6" t="n">
        <v>635892.9</v>
      </c>
      <c r="G518" s="6">
        <f>E518-F518</f>
        <v/>
      </c>
      <c r="H518" s="8">
        <f>IFERROR((E518-F518)/E518,"")</f>
        <v/>
      </c>
      <c r="I518" s="6" t="n">
        <v>-455103.27</v>
      </c>
    </row>
    <row r="519">
      <c r="A519" t="inlineStr">
        <is>
          <t>Seremban</t>
        </is>
      </c>
      <c r="B519" t="inlineStr">
        <is>
          <t>SRB-FAC</t>
        </is>
      </c>
      <c r="C519" t="inlineStr">
        <is>
          <t>Facilities</t>
        </is>
      </c>
      <c r="D519" s="7" t="n">
        <v>45566</v>
      </c>
      <c r="E519" s="6" t="n">
        <v>631943.86</v>
      </c>
      <c r="F519" s="6" t="n">
        <v>723457.89</v>
      </c>
      <c r="G519" s="6">
        <f>E519-F519</f>
        <v/>
      </c>
      <c r="H519" s="8">
        <f>IFERROR((E519-F519)/E519,"")</f>
        <v/>
      </c>
      <c r="I519" s="6" t="n">
        <v>-546617.3</v>
      </c>
    </row>
    <row r="520">
      <c r="A520" t="inlineStr">
        <is>
          <t>Seremban</t>
        </is>
      </c>
      <c r="B520" t="inlineStr">
        <is>
          <t>SRB-FAC</t>
        </is>
      </c>
      <c r="C520" t="inlineStr">
        <is>
          <t>Facilities</t>
        </is>
      </c>
      <c r="D520" s="7" t="n">
        <v>45597</v>
      </c>
      <c r="E520" s="6" t="n">
        <v>689503.13</v>
      </c>
      <c r="F520" s="6" t="n">
        <v>790587.5</v>
      </c>
      <c r="G520" s="6">
        <f>E520-F520</f>
        <v/>
      </c>
      <c r="H520" s="8">
        <f>IFERROR((E520-F520)/E520,"")</f>
        <v/>
      </c>
      <c r="I520" s="6" t="n">
        <v>-647701.67</v>
      </c>
    </row>
    <row r="521">
      <c r="A521" t="inlineStr">
        <is>
          <t>Seremban</t>
        </is>
      </c>
      <c r="B521" t="inlineStr">
        <is>
          <t>SRB-FAC</t>
        </is>
      </c>
      <c r="C521" t="inlineStr">
        <is>
          <t>Facilities</t>
        </is>
      </c>
      <c r="D521" s="7" t="n">
        <v>45627</v>
      </c>
      <c r="E521" s="6" t="n">
        <v>679851.8100000001</v>
      </c>
      <c r="F521" s="6" t="n">
        <v>704302.38</v>
      </c>
      <c r="G521" s="6">
        <f>E521-F521</f>
        <v/>
      </c>
      <c r="H521" s="8">
        <f>IFERROR((E521-F521)/E521,"")</f>
        <v/>
      </c>
      <c r="I521" s="6" t="n">
        <v>-672152.24</v>
      </c>
    </row>
    <row r="522">
      <c r="A522" t="inlineStr">
        <is>
          <t>Seremban</t>
        </is>
      </c>
      <c r="B522" t="inlineStr">
        <is>
          <t>SRB-FAC</t>
        </is>
      </c>
      <c r="C522" t="inlineStr">
        <is>
          <t>Facilities</t>
        </is>
      </c>
      <c r="D522" s="7" t="n">
        <v>45658</v>
      </c>
      <c r="E522" s="6" t="n">
        <v>665331.4300000001</v>
      </c>
      <c r="F522" s="6" t="n">
        <v>712293</v>
      </c>
      <c r="G522" s="6">
        <f>E522-F522</f>
        <v/>
      </c>
      <c r="H522" s="8">
        <f>IFERROR((E522-F522)/E522,"")</f>
        <v/>
      </c>
      <c r="I522" s="6" t="n">
        <v>-46961.57</v>
      </c>
    </row>
    <row r="523">
      <c r="A523" t="inlineStr">
        <is>
          <t>Seremban</t>
        </is>
      </c>
      <c r="B523" t="inlineStr">
        <is>
          <t>SRB-FAC</t>
        </is>
      </c>
      <c r="C523" t="inlineStr">
        <is>
          <t>Facilities</t>
        </is>
      </c>
      <c r="D523" s="7" t="n">
        <v>45689</v>
      </c>
      <c r="E523" s="6" t="n">
        <v>640463.59</v>
      </c>
      <c r="F523" s="6" t="n">
        <v>710411.85</v>
      </c>
      <c r="G523" s="6">
        <f>E523-F523</f>
        <v/>
      </c>
      <c r="H523" s="8">
        <f>IFERROR((E523-F523)/E523,"")</f>
        <v/>
      </c>
      <c r="I523" s="6" t="n">
        <v>-116909.83</v>
      </c>
    </row>
    <row r="524">
      <c r="A524" t="inlineStr">
        <is>
          <t>Seremban</t>
        </is>
      </c>
      <c r="B524" t="inlineStr">
        <is>
          <t>SRB-FAC</t>
        </is>
      </c>
      <c r="C524" t="inlineStr">
        <is>
          <t>Facilities</t>
        </is>
      </c>
      <c r="D524" s="7" t="n">
        <v>45717</v>
      </c>
      <c r="E524" s="6" t="n">
        <v>579581.5600000001</v>
      </c>
      <c r="F524" s="6" t="n">
        <v>659802.6899999999</v>
      </c>
      <c r="G524" s="6">
        <f>E524-F524</f>
        <v/>
      </c>
      <c r="H524" s="8">
        <f>IFERROR((E524-F524)/E524,"")</f>
        <v/>
      </c>
      <c r="I524" s="6" t="n">
        <v>-197130.96</v>
      </c>
    </row>
    <row r="525">
      <c r="A525" t="inlineStr">
        <is>
          <t>Seremban</t>
        </is>
      </c>
      <c r="B525" t="inlineStr">
        <is>
          <t>SRB-FAC</t>
        </is>
      </c>
      <c r="C525" t="inlineStr">
        <is>
          <t>Facilities</t>
        </is>
      </c>
      <c r="D525" s="7" t="n">
        <v>45748</v>
      </c>
      <c r="E525" s="6" t="n">
        <v>546395.01</v>
      </c>
      <c r="F525" s="6" t="n">
        <v>597390.02</v>
      </c>
      <c r="G525" s="6">
        <f>E525-F525</f>
        <v/>
      </c>
      <c r="H525" s="8">
        <f>IFERROR((E525-F525)/E525,"")</f>
        <v/>
      </c>
      <c r="I525" s="6" t="n">
        <v>-248125.97</v>
      </c>
    </row>
    <row r="526">
      <c r="A526" t="inlineStr">
        <is>
          <t>Seremban</t>
        </is>
      </c>
      <c r="B526" t="inlineStr">
        <is>
          <t>SRB-FAC</t>
        </is>
      </c>
      <c r="C526" t="inlineStr">
        <is>
          <t>Facilities</t>
        </is>
      </c>
      <c r="D526" s="7" t="n">
        <v>45778</v>
      </c>
      <c r="E526" s="6" t="n">
        <v>551923.4300000001</v>
      </c>
      <c r="F526" s="6" t="n">
        <v>585602.1</v>
      </c>
      <c r="G526" s="6">
        <f>E526-F526</f>
        <v/>
      </c>
      <c r="H526" s="8">
        <f>IFERROR((E526-F526)/E526,"")</f>
        <v/>
      </c>
      <c r="I526" s="6" t="n">
        <v>-281804.64</v>
      </c>
    </row>
    <row r="527">
      <c r="A527" t="inlineStr">
        <is>
          <t>Seremban</t>
        </is>
      </c>
      <c r="B527" t="inlineStr">
        <is>
          <t>SRB-FAC</t>
        </is>
      </c>
      <c r="C527" t="inlineStr">
        <is>
          <t>Facilities</t>
        </is>
      </c>
      <c r="D527" s="7" t="n">
        <v>45809</v>
      </c>
      <c r="E527" s="6" t="n">
        <v>546299.84</v>
      </c>
      <c r="F527" s="6" t="n">
        <v>618052.34</v>
      </c>
      <c r="G527" s="6">
        <f>E527-F527</f>
        <v/>
      </c>
      <c r="H527" s="8">
        <f>IFERROR((E527-F527)/E527,"")</f>
        <v/>
      </c>
      <c r="I527" s="6" t="n">
        <v>-353557.14</v>
      </c>
    </row>
    <row r="528">
      <c r="A528" t="inlineStr">
        <is>
          <t>Seremban</t>
        </is>
      </c>
      <c r="B528" t="inlineStr">
        <is>
          <t>SRB-FAC</t>
        </is>
      </c>
      <c r="C528" t="inlineStr">
        <is>
          <t>Facilities</t>
        </is>
      </c>
      <c r="D528" s="7" t="n">
        <v>45839</v>
      </c>
      <c r="E528" s="6" t="n">
        <v>568179.58</v>
      </c>
      <c r="F528" s="6" t="n">
        <v>688750.5</v>
      </c>
      <c r="G528" s="6">
        <f>E528-F528</f>
        <v/>
      </c>
      <c r="H528" s="8">
        <f>IFERROR((E528-F528)/E528,"")</f>
        <v/>
      </c>
      <c r="I528" s="6" t="n">
        <v>-474128.06</v>
      </c>
    </row>
    <row r="529">
      <c r="A529" t="inlineStr">
        <is>
          <t>Seremban</t>
        </is>
      </c>
      <c r="B529" t="inlineStr">
        <is>
          <t>SRB-FAC</t>
        </is>
      </c>
      <c r="C529" t="inlineStr">
        <is>
          <t>Facilities</t>
        </is>
      </c>
      <c r="D529" s="7" t="n">
        <v>45870</v>
      </c>
      <c r="E529" s="6" t="n">
        <v>601335.5</v>
      </c>
      <c r="F529" s="6" t="n">
        <v>685800.9</v>
      </c>
      <c r="G529" s="6">
        <f>E529-F529</f>
        <v/>
      </c>
      <c r="H529" s="8">
        <f>IFERROR((E529-F529)/E529,"")</f>
        <v/>
      </c>
      <c r="I529" s="6" t="n">
        <v>-558593.46</v>
      </c>
    </row>
    <row r="530">
      <c r="A530" t="inlineStr">
        <is>
          <t>Seremban</t>
        </is>
      </c>
      <c r="B530" t="inlineStr">
        <is>
          <t>SRB-FAC</t>
        </is>
      </c>
      <c r="C530" t="inlineStr">
        <is>
          <t>Facilities</t>
        </is>
      </c>
      <c r="D530" s="7" t="n">
        <v>45901</v>
      </c>
      <c r="E530" s="6" t="n">
        <v>587103.03</v>
      </c>
      <c r="F530" s="6" t="n">
        <v>718106.17</v>
      </c>
      <c r="G530" s="6">
        <f>E530-F530</f>
        <v/>
      </c>
      <c r="H530" s="8">
        <f>IFERROR((E530-F530)/E530,"")</f>
        <v/>
      </c>
      <c r="I530" s="6" t="n">
        <v>-689596.6</v>
      </c>
    </row>
    <row r="531">
      <c r="A531" t="inlineStr">
        <is>
          <t>Seremban</t>
        </is>
      </c>
      <c r="B531" t="inlineStr">
        <is>
          <t>SRB-FAC</t>
        </is>
      </c>
      <c r="C531" t="inlineStr">
        <is>
          <t>Facilities</t>
        </is>
      </c>
      <c r="D531" s="7" t="n">
        <v>45931</v>
      </c>
      <c r="E531" s="6" t="n">
        <v>605170.37</v>
      </c>
      <c r="F531" s="6" t="n">
        <v>705355.0699999999</v>
      </c>
      <c r="G531" s="6">
        <f>E531-F531</f>
        <v/>
      </c>
      <c r="H531" s="8">
        <f>IFERROR((E531-F531)/E531,"")</f>
        <v/>
      </c>
      <c r="I531" s="6" t="n">
        <v>-789781.3</v>
      </c>
    </row>
    <row r="532">
      <c r="A532" t="inlineStr">
        <is>
          <t>Seremban</t>
        </is>
      </c>
      <c r="B532" t="inlineStr">
        <is>
          <t>SRB-FAC</t>
        </is>
      </c>
      <c r="C532" t="inlineStr">
        <is>
          <t>Facilities</t>
        </is>
      </c>
      <c r="D532" s="7" t="n">
        <v>45962</v>
      </c>
      <c r="E532" s="6" t="n">
        <v>661876.65</v>
      </c>
      <c r="F532" s="6" t="n">
        <v>774979.5600000001</v>
      </c>
      <c r="G532" s="6">
        <f>E532-F532</f>
        <v/>
      </c>
      <c r="H532" s="8">
        <f>IFERROR((E532-F532)/E532,"")</f>
        <v/>
      </c>
      <c r="I532" s="6" t="n">
        <v>-902884.21</v>
      </c>
    </row>
    <row r="533">
      <c r="A533" t="inlineStr">
        <is>
          <t>Seremban</t>
        </is>
      </c>
      <c r="B533" t="inlineStr">
        <is>
          <t>SRB-FAC</t>
        </is>
      </c>
      <c r="C533" t="inlineStr">
        <is>
          <t>Facilities</t>
        </is>
      </c>
      <c r="D533" s="7" t="n">
        <v>45992</v>
      </c>
      <c r="E533" s="6" t="n">
        <v>633867.6</v>
      </c>
      <c r="F533" s="6" t="n">
        <v>681826.72</v>
      </c>
      <c r="G533" s="6">
        <f>E533-F533</f>
        <v/>
      </c>
      <c r="H533" s="8">
        <f>IFERROR((E533-F533)/E533,"")</f>
        <v/>
      </c>
      <c r="I533" s="6" t="n">
        <v>-950843.33</v>
      </c>
    </row>
    <row r="534">
      <c r="A534" t="inlineStr">
        <is>
          <t>Seremban</t>
        </is>
      </c>
      <c r="B534" t="inlineStr">
        <is>
          <t>SRB-FAC</t>
        </is>
      </c>
      <c r="C534" t="inlineStr">
        <is>
          <t>Facilities</t>
        </is>
      </c>
      <c r="D534" s="7" t="n">
        <v>46023</v>
      </c>
      <c r="E534" s="6" t="n">
        <v>626718.1800000001</v>
      </c>
      <c r="F534" s="6" t="n">
        <v>746574.83</v>
      </c>
      <c r="G534" s="6">
        <f>E534-F534</f>
        <v/>
      </c>
      <c r="H534" s="8">
        <f>IFERROR((E534-F534)/E534,"")</f>
        <v/>
      </c>
      <c r="I534" s="6" t="n">
        <v>-119856.65</v>
      </c>
    </row>
    <row r="535">
      <c r="A535" t="inlineStr">
        <is>
          <t>Seremban</t>
        </is>
      </c>
      <c r="B535" t="inlineStr">
        <is>
          <t>SRB-FAC</t>
        </is>
      </c>
      <c r="C535" t="inlineStr">
        <is>
          <t>Facilities</t>
        </is>
      </c>
      <c r="D535" s="7" t="n">
        <v>46054</v>
      </c>
      <c r="E535" s="6" t="n">
        <v>622856.3</v>
      </c>
      <c r="F535" s="6" t="n">
        <v>744594.53</v>
      </c>
      <c r="G535" s="6">
        <f>E535-F535</f>
        <v/>
      </c>
      <c r="H535" s="8">
        <f>IFERROR((E535-F535)/E535,"")</f>
        <v/>
      </c>
      <c r="I535" s="6" t="n">
        <v>-241594.88</v>
      </c>
    </row>
    <row r="536">
      <c r="A536" t="inlineStr">
        <is>
          <t>Seremban</t>
        </is>
      </c>
      <c r="B536" t="inlineStr">
        <is>
          <t>SRB-FAC</t>
        </is>
      </c>
      <c r="C536" t="inlineStr">
        <is>
          <t>Facilities</t>
        </is>
      </c>
      <c r="D536" s="7" t="n">
        <v>46082</v>
      </c>
      <c r="E536" s="6" t="n">
        <v>552371.29</v>
      </c>
      <c r="F536" s="6" t="n">
        <v>674595.26</v>
      </c>
      <c r="G536" s="6">
        <f>E536-F536</f>
        <v/>
      </c>
      <c r="H536" s="8">
        <f>IFERROR((E536-F536)/E536,"")</f>
        <v/>
      </c>
      <c r="I536" s="6" t="n">
        <v>-363818.85</v>
      </c>
    </row>
    <row r="537">
      <c r="A537" t="inlineStr">
        <is>
          <t>Seremban</t>
        </is>
      </c>
      <c r="B537" t="inlineStr">
        <is>
          <t>SRB-FAC</t>
        </is>
      </c>
      <c r="C537" t="inlineStr">
        <is>
          <t>Facilities</t>
        </is>
      </c>
      <c r="D537" s="7" t="n">
        <v>46113</v>
      </c>
      <c r="E537" s="6" t="n">
        <v>532611.84</v>
      </c>
      <c r="F537" s="6" t="n">
        <v>638335.63</v>
      </c>
      <c r="G537" s="6">
        <f>E537-F537</f>
        <v/>
      </c>
      <c r="H537" s="8">
        <f>IFERROR((E537-F537)/E537,"")</f>
        <v/>
      </c>
      <c r="I537" s="6" t="n">
        <v>-469542.64</v>
      </c>
    </row>
    <row r="538">
      <c r="A538" t="inlineStr">
        <is>
          <t>Seremban</t>
        </is>
      </c>
      <c r="B538" t="inlineStr">
        <is>
          <t>SRB-FAC</t>
        </is>
      </c>
      <c r="C538" t="inlineStr">
        <is>
          <t>Facilities</t>
        </is>
      </c>
      <c r="D538" s="7" t="n">
        <v>46143</v>
      </c>
      <c r="E538" s="6" t="n">
        <v>520367.19</v>
      </c>
      <c r="F538" s="6" t="n">
        <v>631691.53</v>
      </c>
      <c r="G538" s="6">
        <f>E538-F538</f>
        <v/>
      </c>
      <c r="H538" s="8">
        <f>IFERROR((E538-F538)/E538,"")</f>
        <v/>
      </c>
      <c r="I538" s="6" t="n">
        <v>-580866.98</v>
      </c>
    </row>
    <row r="539">
      <c r="A539" t="inlineStr">
        <is>
          <t>Seremban</t>
        </is>
      </c>
      <c r="B539" t="inlineStr">
        <is>
          <t>SRB-FAC</t>
        </is>
      </c>
      <c r="C539" t="inlineStr">
        <is>
          <t>Facilities</t>
        </is>
      </c>
      <c r="D539" s="7" t="n">
        <v>46174</v>
      </c>
      <c r="E539" s="6" t="n">
        <v>515926.28</v>
      </c>
      <c r="F539" s="6" t="n">
        <v>574755.7</v>
      </c>
      <c r="G539" s="6">
        <f>E539-F539</f>
        <v/>
      </c>
      <c r="H539" s="8">
        <f>IFERROR((E539-F539)/E539,"")</f>
        <v/>
      </c>
      <c r="I539" s="6" t="n">
        <v>-639696.4</v>
      </c>
    </row>
    <row r="540">
      <c r="A540" t="inlineStr">
        <is>
          <t>Seremban</t>
        </is>
      </c>
      <c r="B540" t="inlineStr">
        <is>
          <t>SRB-FAC</t>
        </is>
      </c>
      <c r="C540" t="inlineStr">
        <is>
          <t>Facilities</t>
        </is>
      </c>
      <c r="D540" s="7" t="n">
        <v>46204</v>
      </c>
      <c r="E540" s="6" t="n">
        <v>545661.86</v>
      </c>
      <c r="F540" s="6" t="n">
        <v>626479.76</v>
      </c>
      <c r="G540" s="6">
        <f>E540-F540</f>
        <v/>
      </c>
      <c r="H540" s="8">
        <f>IFERROR((E540-F540)/E540,"")</f>
        <v/>
      </c>
      <c r="I540" s="6" t="n">
        <v>-720514.3</v>
      </c>
    </row>
    <row r="541">
      <c r="A541" t="inlineStr">
        <is>
          <t>Seremban</t>
        </is>
      </c>
      <c r="B541" t="inlineStr">
        <is>
          <t>SRB-FAC</t>
        </is>
      </c>
      <c r="C541" t="inlineStr">
        <is>
          <t>Facilities</t>
        </is>
      </c>
      <c r="D541" s="7" t="n">
        <v>46235</v>
      </c>
      <c r="E541" s="6" t="n">
        <v>560160.49</v>
      </c>
      <c r="F541" s="6" t="n">
        <v>605485.1800000001</v>
      </c>
      <c r="G541" s="6">
        <f>E541-F541</f>
        <v/>
      </c>
      <c r="H541" s="8">
        <f>IFERROR((E541-F541)/E541,"")</f>
        <v/>
      </c>
      <c r="I541" s="6" t="n">
        <v>-765838.99</v>
      </c>
    </row>
    <row r="542">
      <c r="A542" t="inlineStr">
        <is>
          <t>Seremban</t>
        </is>
      </c>
      <c r="B542" t="inlineStr">
        <is>
          <t>SRB-QLT</t>
        </is>
      </c>
      <c r="C542" t="inlineStr">
        <is>
          <t>Quality</t>
        </is>
      </c>
      <c r="D542" s="7" t="n">
        <v>45170</v>
      </c>
      <c r="E542" s="6" t="n">
        <v>268245.47</v>
      </c>
      <c r="F542" s="6" t="n">
        <v>320852.06</v>
      </c>
      <c r="G542" s="6">
        <f>E542-F542</f>
        <v/>
      </c>
      <c r="H542" s="8">
        <f>IFERROR((E542-F542)/E542,"")</f>
        <v/>
      </c>
      <c r="I542" s="6" t="n">
        <v>-52606.59</v>
      </c>
    </row>
    <row r="543">
      <c r="A543" t="inlineStr">
        <is>
          <t>Seremban</t>
        </is>
      </c>
      <c r="B543" t="inlineStr">
        <is>
          <t>SRB-QLT</t>
        </is>
      </c>
      <c r="C543" t="inlineStr">
        <is>
          <t>Quality</t>
        </is>
      </c>
      <c r="D543" s="7" t="n">
        <v>45200</v>
      </c>
      <c r="E543" s="6" t="n">
        <v>277619.75</v>
      </c>
      <c r="F543" s="6" t="n">
        <v>319597.64</v>
      </c>
      <c r="G543" s="6">
        <f>E543-F543</f>
        <v/>
      </c>
      <c r="H543" s="8">
        <f>IFERROR((E543-F543)/E543,"")</f>
        <v/>
      </c>
      <c r="I543" s="6" t="n">
        <v>-94584.48</v>
      </c>
    </row>
    <row r="544">
      <c r="A544" t="inlineStr">
        <is>
          <t>Seremban</t>
        </is>
      </c>
      <c r="B544" t="inlineStr">
        <is>
          <t>SRB-QLT</t>
        </is>
      </c>
      <c r="C544" t="inlineStr">
        <is>
          <t>Quality</t>
        </is>
      </c>
      <c r="D544" s="7" t="n">
        <v>45231</v>
      </c>
      <c r="E544" s="6" t="n">
        <v>279617.86</v>
      </c>
      <c r="F544" s="6" t="n">
        <v>325658.32</v>
      </c>
      <c r="G544" s="6">
        <f>E544-F544</f>
        <v/>
      </c>
      <c r="H544" s="8">
        <f>IFERROR((E544-F544)/E544,"")</f>
        <v/>
      </c>
      <c r="I544" s="6" t="n">
        <v>-140624.94</v>
      </c>
    </row>
    <row r="545">
      <c r="A545" t="inlineStr">
        <is>
          <t>Seremban</t>
        </is>
      </c>
      <c r="B545" t="inlineStr">
        <is>
          <t>SRB-QLT</t>
        </is>
      </c>
      <c r="C545" t="inlineStr">
        <is>
          <t>Quality</t>
        </is>
      </c>
      <c r="D545" s="7" t="n">
        <v>45261</v>
      </c>
      <c r="E545" s="6" t="n">
        <v>280645.68</v>
      </c>
      <c r="F545" s="6" t="n">
        <v>330913.93</v>
      </c>
      <c r="G545" s="6">
        <f>E545-F545</f>
        <v/>
      </c>
      <c r="H545" s="8">
        <f>IFERROR((E545-F545)/E545,"")</f>
        <v/>
      </c>
      <c r="I545" s="6" t="n">
        <v>-190893.19</v>
      </c>
    </row>
    <row r="546">
      <c r="A546" t="inlineStr">
        <is>
          <t>Seremban</t>
        </is>
      </c>
      <c r="B546" t="inlineStr">
        <is>
          <t>SRB-QLT</t>
        </is>
      </c>
      <c r="C546" t="inlineStr">
        <is>
          <t>Quality</t>
        </is>
      </c>
      <c r="D546" s="7" t="n">
        <v>45292</v>
      </c>
      <c r="E546" s="6" t="n">
        <v>273964.05</v>
      </c>
      <c r="F546" s="6" t="n">
        <v>319846.39</v>
      </c>
      <c r="G546" s="6">
        <f>E546-F546</f>
        <v/>
      </c>
      <c r="H546" s="8">
        <f>IFERROR((E546-F546)/E546,"")</f>
        <v/>
      </c>
      <c r="I546" s="6" t="n">
        <v>-45882.34</v>
      </c>
    </row>
    <row r="547">
      <c r="A547" t="inlineStr">
        <is>
          <t>Seremban</t>
        </is>
      </c>
      <c r="B547" t="inlineStr">
        <is>
          <t>SRB-QLT</t>
        </is>
      </c>
      <c r="C547" t="inlineStr">
        <is>
          <t>Quality</t>
        </is>
      </c>
      <c r="D547" s="7" t="n">
        <v>45323</v>
      </c>
      <c r="E547" s="6" t="n">
        <v>265205.57</v>
      </c>
      <c r="F547" s="6" t="n">
        <v>309139</v>
      </c>
      <c r="G547" s="6">
        <f>E547-F547</f>
        <v/>
      </c>
      <c r="H547" s="8">
        <f>IFERROR((E547-F547)/E547,"")</f>
        <v/>
      </c>
      <c r="I547" s="6" t="n">
        <v>-89815.77</v>
      </c>
    </row>
    <row r="548">
      <c r="A548" t="inlineStr">
        <is>
          <t>Seremban</t>
        </is>
      </c>
      <c r="B548" t="inlineStr">
        <is>
          <t>SRB-QLT</t>
        </is>
      </c>
      <c r="C548" t="inlineStr">
        <is>
          <t>Quality</t>
        </is>
      </c>
      <c r="D548" s="7" t="n">
        <v>45352</v>
      </c>
      <c r="E548" s="6" t="n">
        <v>257043.23</v>
      </c>
      <c r="F548" s="6" t="n">
        <v>314616.61</v>
      </c>
      <c r="G548" s="6">
        <f>E548-F548</f>
        <v/>
      </c>
      <c r="H548" s="8">
        <f>IFERROR((E548-F548)/E548,"")</f>
        <v/>
      </c>
      <c r="I548" s="6" t="n">
        <v>-147389.15</v>
      </c>
    </row>
    <row r="549">
      <c r="A549" t="inlineStr">
        <is>
          <t>Seremban</t>
        </is>
      </c>
      <c r="B549" t="inlineStr">
        <is>
          <t>SRB-QLT</t>
        </is>
      </c>
      <c r="C549" t="inlineStr">
        <is>
          <t>Quality</t>
        </is>
      </c>
      <c r="D549" s="7" t="n">
        <v>45383</v>
      </c>
      <c r="E549" s="6" t="n">
        <v>245253.73</v>
      </c>
      <c r="F549" s="6" t="n">
        <v>309077.78</v>
      </c>
      <c r="G549" s="6">
        <f>E549-F549</f>
        <v/>
      </c>
      <c r="H549" s="8">
        <f>IFERROR((E549-F549)/E549,"")</f>
        <v/>
      </c>
      <c r="I549" s="6" t="n">
        <v>-211213.2</v>
      </c>
    </row>
    <row r="550">
      <c r="A550" t="inlineStr">
        <is>
          <t>Seremban</t>
        </is>
      </c>
      <c r="B550" t="inlineStr">
        <is>
          <t>SRB-QLT</t>
        </is>
      </c>
      <c r="C550" t="inlineStr">
        <is>
          <t>Quality</t>
        </is>
      </c>
      <c r="D550" s="7" t="n">
        <v>45413</v>
      </c>
      <c r="E550" s="6" t="n">
        <v>239894.61</v>
      </c>
      <c r="F550" s="6" t="n">
        <v>303956.89</v>
      </c>
      <c r="G550" s="6">
        <f>E550-F550</f>
        <v/>
      </c>
      <c r="H550" s="8">
        <f>IFERROR((E550-F550)/E550,"")</f>
        <v/>
      </c>
      <c r="I550" s="6" t="n">
        <v>-275275.48</v>
      </c>
    </row>
    <row r="551">
      <c r="A551" t="inlineStr">
        <is>
          <t>Seremban</t>
        </is>
      </c>
      <c r="B551" t="inlineStr">
        <is>
          <t>SRB-QLT</t>
        </is>
      </c>
      <c r="C551" t="inlineStr">
        <is>
          <t>Quality</t>
        </is>
      </c>
      <c r="D551" s="7" t="n">
        <v>45444</v>
      </c>
      <c r="E551" s="6" t="n">
        <v>238988.53</v>
      </c>
      <c r="F551" s="6" t="n">
        <v>297240.36</v>
      </c>
      <c r="G551" s="6">
        <f>E551-F551</f>
        <v/>
      </c>
      <c r="H551" s="8">
        <f>IFERROR((E551-F551)/E551,"")</f>
        <v/>
      </c>
      <c r="I551" s="6" t="n">
        <v>-333527.31</v>
      </c>
    </row>
    <row r="552">
      <c r="A552" t="inlineStr">
        <is>
          <t>Seremban</t>
        </is>
      </c>
      <c r="B552" t="inlineStr">
        <is>
          <t>SRB-QLT</t>
        </is>
      </c>
      <c r="C552" t="inlineStr">
        <is>
          <t>Quality</t>
        </is>
      </c>
      <c r="D552" s="7" t="n">
        <v>45474</v>
      </c>
      <c r="E552" s="6" t="n">
        <v>245516.89</v>
      </c>
      <c r="F552" s="6" t="n">
        <v>293235.66</v>
      </c>
      <c r="G552" s="6">
        <f>E552-F552</f>
        <v/>
      </c>
      <c r="H552" s="8">
        <f>IFERROR((E552-F552)/E552,"")</f>
        <v/>
      </c>
      <c r="I552" s="6" t="n">
        <v>-381246.08</v>
      </c>
    </row>
    <row r="553">
      <c r="A553" t="inlineStr">
        <is>
          <t>Seremban</t>
        </is>
      </c>
      <c r="B553" t="inlineStr">
        <is>
          <t>SRB-QLT</t>
        </is>
      </c>
      <c r="C553" t="inlineStr">
        <is>
          <t>Quality</t>
        </is>
      </c>
      <c r="D553" s="7" t="n">
        <v>45505</v>
      </c>
      <c r="E553" s="6" t="n">
        <v>250695.15</v>
      </c>
      <c r="F553" s="6" t="n">
        <v>306540.47</v>
      </c>
      <c r="G553" s="6">
        <f>E553-F553</f>
        <v/>
      </c>
      <c r="H553" s="8">
        <f>IFERROR((E553-F553)/E553,"")</f>
        <v/>
      </c>
      <c r="I553" s="6" t="n">
        <v>-437091.4</v>
      </c>
    </row>
    <row r="554">
      <c r="A554" t="inlineStr">
        <is>
          <t>Seremban</t>
        </is>
      </c>
      <c r="B554" t="inlineStr">
        <is>
          <t>SRB-QLT</t>
        </is>
      </c>
      <c r="C554" t="inlineStr">
        <is>
          <t>Quality</t>
        </is>
      </c>
      <c r="D554" s="7" t="n">
        <v>45536</v>
      </c>
      <c r="E554" s="6" t="n">
        <v>258544.51</v>
      </c>
      <c r="F554" s="6" t="n">
        <v>301826.28</v>
      </c>
      <c r="G554" s="6">
        <f>E554-F554</f>
        <v/>
      </c>
      <c r="H554" s="8">
        <f>IFERROR((E554-F554)/E554,"")</f>
        <v/>
      </c>
      <c r="I554" s="6" t="n">
        <v>-480373.17</v>
      </c>
    </row>
    <row r="555">
      <c r="A555" t="inlineStr">
        <is>
          <t>Seremban</t>
        </is>
      </c>
      <c r="B555" t="inlineStr">
        <is>
          <t>SRB-QLT</t>
        </is>
      </c>
      <c r="C555" t="inlineStr">
        <is>
          <t>Quality</t>
        </is>
      </c>
      <c r="D555" s="7" t="n">
        <v>45566</v>
      </c>
      <c r="E555" s="6" t="n">
        <v>266359.73</v>
      </c>
      <c r="F555" s="6" t="n">
        <v>305079.37</v>
      </c>
      <c r="G555" s="6">
        <f>E555-F555</f>
        <v/>
      </c>
      <c r="H555" s="8">
        <f>IFERROR((E555-F555)/E555,"")</f>
        <v/>
      </c>
      <c r="I555" s="6" t="n">
        <v>-519092.81</v>
      </c>
    </row>
    <row r="556">
      <c r="A556" t="inlineStr">
        <is>
          <t>Seremban</t>
        </is>
      </c>
      <c r="B556" t="inlineStr">
        <is>
          <t>SRB-QLT</t>
        </is>
      </c>
      <c r="C556" t="inlineStr">
        <is>
          <t>Quality</t>
        </is>
      </c>
      <c r="D556" s="7" t="n">
        <v>45597</v>
      </c>
      <c r="E556" s="6" t="n">
        <v>270649.4</v>
      </c>
      <c r="F556" s="6" t="n">
        <v>296347.57</v>
      </c>
      <c r="G556" s="6">
        <f>E556-F556</f>
        <v/>
      </c>
      <c r="H556" s="8">
        <f>IFERROR((E556-F556)/E556,"")</f>
        <v/>
      </c>
      <c r="I556" s="6" t="n">
        <v>-544790.98</v>
      </c>
    </row>
    <row r="557">
      <c r="A557" t="inlineStr">
        <is>
          <t>Seremban</t>
        </is>
      </c>
      <c r="B557" t="inlineStr">
        <is>
          <t>SRB-QLT</t>
        </is>
      </c>
      <c r="C557" t="inlineStr">
        <is>
          <t>Quality</t>
        </is>
      </c>
      <c r="D557" s="7" t="n">
        <v>45627</v>
      </c>
      <c r="E557" s="6" t="n">
        <v>271357.79</v>
      </c>
      <c r="F557" s="6" t="n">
        <v>298876.59</v>
      </c>
      <c r="G557" s="6">
        <f>E557-F557</f>
        <v/>
      </c>
      <c r="H557" s="8">
        <f>IFERROR((E557-F557)/E557,"")</f>
        <v/>
      </c>
      <c r="I557" s="6" t="n">
        <v>-572309.78</v>
      </c>
    </row>
    <row r="558">
      <c r="A558" t="inlineStr">
        <is>
          <t>Seremban</t>
        </is>
      </c>
      <c r="B558" t="inlineStr">
        <is>
          <t>SRB-QLT</t>
        </is>
      </c>
      <c r="C558" t="inlineStr">
        <is>
          <t>Quality</t>
        </is>
      </c>
      <c r="D558" s="7" t="n">
        <v>45658</v>
      </c>
      <c r="E558" s="6" t="n">
        <v>264667.45</v>
      </c>
      <c r="F558" s="6" t="n">
        <v>292382.61</v>
      </c>
      <c r="G558" s="6">
        <f>E558-F558</f>
        <v/>
      </c>
      <c r="H558" s="8">
        <f>IFERROR((E558-F558)/E558,"")</f>
        <v/>
      </c>
      <c r="I558" s="6" t="n">
        <v>-27715.16</v>
      </c>
    </row>
    <row r="559">
      <c r="A559" t="inlineStr">
        <is>
          <t>Seremban</t>
        </is>
      </c>
      <c r="B559" t="inlineStr">
        <is>
          <t>SRB-QLT</t>
        </is>
      </c>
      <c r="C559" t="inlineStr">
        <is>
          <t>Quality</t>
        </is>
      </c>
      <c r="D559" s="7" t="n">
        <v>45689</v>
      </c>
      <c r="E559" s="6" t="n">
        <v>255562.84</v>
      </c>
      <c r="F559" s="6" t="n">
        <v>294414.09</v>
      </c>
      <c r="G559" s="6">
        <f>E559-F559</f>
        <v/>
      </c>
      <c r="H559" s="8">
        <f>IFERROR((E559-F559)/E559,"")</f>
        <v/>
      </c>
      <c r="I559" s="6" t="n">
        <v>-66566.41</v>
      </c>
    </row>
    <row r="560">
      <c r="A560" t="inlineStr">
        <is>
          <t>Seremban</t>
        </is>
      </c>
      <c r="B560" t="inlineStr">
        <is>
          <t>SRB-QLT</t>
        </is>
      </c>
      <c r="C560" t="inlineStr">
        <is>
          <t>Quality</t>
        </is>
      </c>
      <c r="D560" s="7" t="n">
        <v>45717</v>
      </c>
      <c r="E560" s="6" t="n">
        <v>245122.76</v>
      </c>
      <c r="F560" s="6" t="n">
        <v>283323.15</v>
      </c>
      <c r="G560" s="6">
        <f>E560-F560</f>
        <v/>
      </c>
      <c r="H560" s="8">
        <f>IFERROR((E560-F560)/E560,"")</f>
        <v/>
      </c>
      <c r="I560" s="6" t="n">
        <v>-104766.8</v>
      </c>
    </row>
    <row r="561">
      <c r="A561" t="inlineStr">
        <is>
          <t>Seremban</t>
        </is>
      </c>
      <c r="B561" t="inlineStr">
        <is>
          <t>SRB-QLT</t>
        </is>
      </c>
      <c r="C561" t="inlineStr">
        <is>
          <t>Quality</t>
        </is>
      </c>
      <c r="D561" s="7" t="n">
        <v>45748</v>
      </c>
      <c r="E561" s="6" t="n">
        <v>238042.37</v>
      </c>
      <c r="F561" s="6" t="n">
        <v>279893.93</v>
      </c>
      <c r="G561" s="6">
        <f>E561-F561</f>
        <v/>
      </c>
      <c r="H561" s="8">
        <f>IFERROR((E561-F561)/E561,"")</f>
        <v/>
      </c>
      <c r="I561" s="6" t="n">
        <v>-146618.36</v>
      </c>
    </row>
    <row r="562">
      <c r="A562" t="inlineStr">
        <is>
          <t>Seremban</t>
        </is>
      </c>
      <c r="B562" t="inlineStr">
        <is>
          <t>SRB-QLT</t>
        </is>
      </c>
      <c r="C562" t="inlineStr">
        <is>
          <t>Quality</t>
        </is>
      </c>
      <c r="D562" s="7" t="n">
        <v>45778</v>
      </c>
      <c r="E562" s="6" t="n">
        <v>231106.9</v>
      </c>
      <c r="F562" s="6" t="n">
        <v>264498.99</v>
      </c>
      <c r="G562" s="6">
        <f>E562-F562</f>
        <v/>
      </c>
      <c r="H562" s="8">
        <f>IFERROR((E562-F562)/E562,"")</f>
        <v/>
      </c>
      <c r="I562" s="6" t="n">
        <v>-180010.45</v>
      </c>
    </row>
    <row r="563">
      <c r="A563" t="inlineStr">
        <is>
          <t>Seremban</t>
        </is>
      </c>
      <c r="B563" t="inlineStr">
        <is>
          <t>SRB-QLT</t>
        </is>
      </c>
      <c r="C563" t="inlineStr">
        <is>
          <t>Quality</t>
        </is>
      </c>
      <c r="D563" s="7" t="n">
        <v>45809</v>
      </c>
      <c r="E563" s="6" t="n">
        <v>231109.37</v>
      </c>
      <c r="F563" s="6" t="n">
        <v>286065.66</v>
      </c>
      <c r="G563" s="6">
        <f>E563-F563</f>
        <v/>
      </c>
      <c r="H563" s="8">
        <f>IFERROR((E563-F563)/E563,"")</f>
        <v/>
      </c>
      <c r="I563" s="6" t="n">
        <v>-234966.74</v>
      </c>
    </row>
    <row r="564">
      <c r="A564" t="inlineStr">
        <is>
          <t>Seremban</t>
        </is>
      </c>
      <c r="B564" t="inlineStr">
        <is>
          <t>SRB-QLT</t>
        </is>
      </c>
      <c r="C564" t="inlineStr">
        <is>
          <t>Quality</t>
        </is>
      </c>
      <c r="D564" s="7" t="n">
        <v>45839</v>
      </c>
      <c r="E564" s="6" t="n">
        <v>233300.58</v>
      </c>
      <c r="F564" s="6" t="n">
        <v>290646.34</v>
      </c>
      <c r="G564" s="6">
        <f>E564-F564</f>
        <v/>
      </c>
      <c r="H564" s="8">
        <f>IFERROR((E564-F564)/E564,"")</f>
        <v/>
      </c>
      <c r="I564" s="6" t="n">
        <v>-292312.5</v>
      </c>
    </row>
    <row r="565">
      <c r="A565" t="inlineStr">
        <is>
          <t>Seremban</t>
        </is>
      </c>
      <c r="B565" t="inlineStr">
        <is>
          <t>SRB-QLT</t>
        </is>
      </c>
      <c r="C565" t="inlineStr">
        <is>
          <t>Quality</t>
        </is>
      </c>
      <c r="D565" s="7" t="n">
        <v>45870</v>
      </c>
      <c r="E565" s="6" t="n">
        <v>240555.86</v>
      </c>
      <c r="F565" s="6" t="n">
        <v>299832.7</v>
      </c>
      <c r="G565" s="6">
        <f>E565-F565</f>
        <v/>
      </c>
      <c r="H565" s="8">
        <f>IFERROR((E565-F565)/E565,"")</f>
        <v/>
      </c>
      <c r="I565" s="6" t="n">
        <v>-351589.34</v>
      </c>
    </row>
    <row r="566">
      <c r="A566" t="inlineStr">
        <is>
          <t>Seremban</t>
        </is>
      </c>
      <c r="B566" t="inlineStr">
        <is>
          <t>SRB-QLT</t>
        </is>
      </c>
      <c r="C566" t="inlineStr">
        <is>
          <t>Quality</t>
        </is>
      </c>
      <c r="D566" s="7" t="n">
        <v>45901</v>
      </c>
      <c r="E566" s="6" t="n">
        <v>250564.34</v>
      </c>
      <c r="F566" s="6" t="n">
        <v>298620.75</v>
      </c>
      <c r="G566" s="6">
        <f>E566-F566</f>
        <v/>
      </c>
      <c r="H566" s="8">
        <f>IFERROR((E566-F566)/E566,"")</f>
        <v/>
      </c>
      <c r="I566" s="6" t="n">
        <v>-399645.75</v>
      </c>
    </row>
    <row r="567">
      <c r="A567" t="inlineStr">
        <is>
          <t>Seremban</t>
        </is>
      </c>
      <c r="B567" t="inlineStr">
        <is>
          <t>SRB-QLT</t>
        </is>
      </c>
      <c r="C567" t="inlineStr">
        <is>
          <t>Quality</t>
        </is>
      </c>
      <c r="D567" s="7" t="n">
        <v>45931</v>
      </c>
      <c r="E567" s="6" t="n">
        <v>256711.22</v>
      </c>
      <c r="F567" s="6" t="n">
        <v>268083.98</v>
      </c>
      <c r="G567" s="6">
        <f>E567-F567</f>
        <v/>
      </c>
      <c r="H567" s="8">
        <f>IFERROR((E567-F567)/E567,"")</f>
        <v/>
      </c>
      <c r="I567" s="6" t="n">
        <v>-411018.51</v>
      </c>
    </row>
    <row r="568">
      <c r="A568" t="inlineStr">
        <is>
          <t>Seremban</t>
        </is>
      </c>
      <c r="B568" t="inlineStr">
        <is>
          <t>SRB-QLT</t>
        </is>
      </c>
      <c r="C568" t="inlineStr">
        <is>
          <t>Quality</t>
        </is>
      </c>
      <c r="D568" s="7" t="n">
        <v>45962</v>
      </c>
      <c r="E568" s="6" t="n">
        <v>260489.96</v>
      </c>
      <c r="F568" s="6" t="n">
        <v>280662.55</v>
      </c>
      <c r="G568" s="6">
        <f>E568-F568</f>
        <v/>
      </c>
      <c r="H568" s="8">
        <f>IFERROR((E568-F568)/E568,"")</f>
        <v/>
      </c>
      <c r="I568" s="6" t="n">
        <v>-431191.1</v>
      </c>
    </row>
    <row r="569">
      <c r="A569" t="inlineStr">
        <is>
          <t>Seremban</t>
        </is>
      </c>
      <c r="B569" t="inlineStr">
        <is>
          <t>SRB-QLT</t>
        </is>
      </c>
      <c r="C569" t="inlineStr">
        <is>
          <t>Quality</t>
        </is>
      </c>
      <c r="D569" s="7" t="n">
        <v>45992</v>
      </c>
      <c r="E569" s="6" t="n">
        <v>259188.9</v>
      </c>
      <c r="F569" s="6" t="n">
        <v>282580.92</v>
      </c>
      <c r="G569" s="6">
        <f>E569-F569</f>
        <v/>
      </c>
      <c r="H569" s="8">
        <f>IFERROR((E569-F569)/E569,"")</f>
        <v/>
      </c>
      <c r="I569" s="6" t="n">
        <v>-454583.12</v>
      </c>
    </row>
    <row r="570">
      <c r="A570" t="inlineStr">
        <is>
          <t>Seremban</t>
        </is>
      </c>
      <c r="B570" t="inlineStr">
        <is>
          <t>SRB-QLT</t>
        </is>
      </c>
      <c r="C570" t="inlineStr">
        <is>
          <t>Quality</t>
        </is>
      </c>
      <c r="D570" s="7" t="n">
        <v>46023</v>
      </c>
      <c r="E570" s="6" t="n">
        <v>253042.52</v>
      </c>
      <c r="F570" s="6" t="n">
        <v>278372.78</v>
      </c>
      <c r="G570" s="6">
        <f>E570-F570</f>
        <v/>
      </c>
      <c r="H570" s="8">
        <f>IFERROR((E570-F570)/E570,"")</f>
        <v/>
      </c>
      <c r="I570" s="6" t="n">
        <v>-25330.26</v>
      </c>
    </row>
    <row r="571">
      <c r="A571" t="inlineStr">
        <is>
          <t>Seremban</t>
        </is>
      </c>
      <c r="B571" t="inlineStr">
        <is>
          <t>SRB-QLT</t>
        </is>
      </c>
      <c r="C571" t="inlineStr">
        <is>
          <t>Quality</t>
        </is>
      </c>
      <c r="D571" s="7" t="n">
        <v>46054</v>
      </c>
      <c r="E571" s="6" t="n">
        <v>246584.37</v>
      </c>
      <c r="F571" s="6" t="n">
        <v>285838.92</v>
      </c>
      <c r="G571" s="6">
        <f>E571-F571</f>
        <v/>
      </c>
      <c r="H571" s="8">
        <f>IFERROR((E571-F571)/E571,"")</f>
        <v/>
      </c>
      <c r="I571" s="6" t="n">
        <v>-64584.81</v>
      </c>
    </row>
    <row r="572">
      <c r="A572" t="inlineStr">
        <is>
          <t>Seremban</t>
        </is>
      </c>
      <c r="B572" t="inlineStr">
        <is>
          <t>SRB-QLT</t>
        </is>
      </c>
      <c r="C572" t="inlineStr">
        <is>
          <t>Quality</t>
        </is>
      </c>
      <c r="D572" s="7" t="n">
        <v>46082</v>
      </c>
      <c r="E572" s="6" t="n">
        <v>236904.99</v>
      </c>
      <c r="F572" s="6" t="n">
        <v>270188.29</v>
      </c>
      <c r="G572" s="6">
        <f>E572-F572</f>
        <v/>
      </c>
      <c r="H572" s="8">
        <f>IFERROR((E572-F572)/E572,"")</f>
        <v/>
      </c>
      <c r="I572" s="6" t="n">
        <v>-97868.11</v>
      </c>
    </row>
    <row r="573">
      <c r="A573" t="inlineStr">
        <is>
          <t>Seremban</t>
        </is>
      </c>
      <c r="B573" t="inlineStr">
        <is>
          <t>SRB-QLT</t>
        </is>
      </c>
      <c r="C573" t="inlineStr">
        <is>
          <t>Quality</t>
        </is>
      </c>
      <c r="D573" s="7" t="n">
        <v>46113</v>
      </c>
      <c r="E573" s="6" t="n">
        <v>227681.3</v>
      </c>
      <c r="F573" s="6" t="n">
        <v>272615.36</v>
      </c>
      <c r="G573" s="6">
        <f>E573-F573</f>
        <v/>
      </c>
      <c r="H573" s="8">
        <f>IFERROR((E573-F573)/E573,"")</f>
        <v/>
      </c>
      <c r="I573" s="6" t="n">
        <v>-142802.17</v>
      </c>
    </row>
    <row r="574">
      <c r="A574" t="inlineStr">
        <is>
          <t>Seremban</t>
        </is>
      </c>
      <c r="B574" t="inlineStr">
        <is>
          <t>SRB-QLT</t>
        </is>
      </c>
      <c r="C574" t="inlineStr">
        <is>
          <t>Quality</t>
        </is>
      </c>
      <c r="D574" s="7" t="n">
        <v>46143</v>
      </c>
      <c r="E574" s="6" t="n">
        <v>222138.7</v>
      </c>
      <c r="F574" s="6" t="n">
        <v>274833.72</v>
      </c>
      <c r="G574" s="6">
        <f>E574-F574</f>
        <v/>
      </c>
      <c r="H574" s="8">
        <f>IFERROR((E574-F574)/E574,"")</f>
        <v/>
      </c>
      <c r="I574" s="6" t="n">
        <v>-195497.19</v>
      </c>
    </row>
    <row r="575">
      <c r="A575" t="inlineStr">
        <is>
          <t>Seremban</t>
        </is>
      </c>
      <c r="B575" t="inlineStr">
        <is>
          <t>SRB-QLT</t>
        </is>
      </c>
      <c r="C575" t="inlineStr">
        <is>
          <t>Quality</t>
        </is>
      </c>
      <c r="D575" s="7" t="n">
        <v>46174</v>
      </c>
      <c r="E575" s="6" t="n">
        <v>221736.93</v>
      </c>
      <c r="F575" s="6" t="n">
        <v>267333.16</v>
      </c>
      <c r="G575" s="6">
        <f>E575-F575</f>
        <v/>
      </c>
      <c r="H575" s="8">
        <f>IFERROR((E575-F575)/E575,"")</f>
        <v/>
      </c>
      <c r="I575" s="6" t="n">
        <v>-241093.42</v>
      </c>
    </row>
    <row r="576">
      <c r="A576" t="inlineStr">
        <is>
          <t>Seremban</t>
        </is>
      </c>
      <c r="B576" t="inlineStr">
        <is>
          <t>SRB-QLT</t>
        </is>
      </c>
      <c r="C576" t="inlineStr">
        <is>
          <t>Quality</t>
        </is>
      </c>
      <c r="D576" s="7" t="n">
        <v>46204</v>
      </c>
      <c r="E576" s="6" t="n">
        <v>225288.25</v>
      </c>
      <c r="F576" s="6" t="n">
        <v>264876.99</v>
      </c>
      <c r="G576" s="6">
        <f>E576-F576</f>
        <v/>
      </c>
      <c r="H576" s="8">
        <f>IFERROR((E576-F576)/E576,"")</f>
        <v/>
      </c>
      <c r="I576" s="6" t="n">
        <v>-280682.16</v>
      </c>
    </row>
    <row r="577">
      <c r="A577" t="inlineStr">
        <is>
          <t>Seremban</t>
        </is>
      </c>
      <c r="B577" t="inlineStr">
        <is>
          <t>SRB-QLT</t>
        </is>
      </c>
      <c r="C577" t="inlineStr">
        <is>
          <t>Quality</t>
        </is>
      </c>
      <c r="D577" s="7" t="n">
        <v>46235</v>
      </c>
      <c r="E577" s="6" t="n">
        <v>231683.63</v>
      </c>
      <c r="F577" s="6" t="n">
        <v>262864.51</v>
      </c>
      <c r="G577" s="6">
        <f>E577-F577</f>
        <v/>
      </c>
      <c r="H577" s="8">
        <f>IFERROR((E577-F577)/E577,"")</f>
        <v/>
      </c>
      <c r="I577" s="6" t="n">
        <v>-311863.04</v>
      </c>
    </row>
    <row r="578">
      <c r="A578" t="inlineStr">
        <is>
          <t>Seremban</t>
        </is>
      </c>
      <c r="B578" t="inlineStr">
        <is>
          <t>SRB-SCM</t>
        </is>
      </c>
      <c r="C578" t="inlineStr">
        <is>
          <t>Supply Chain</t>
        </is>
      </c>
      <c r="D578" s="7" t="n">
        <v>45170</v>
      </c>
      <c r="E578" s="6" t="n">
        <v>274237.62</v>
      </c>
      <c r="F578" s="6" t="n">
        <v>300912.22</v>
      </c>
      <c r="G578" s="6">
        <f>E578-F578</f>
        <v/>
      </c>
      <c r="H578" s="8">
        <f>IFERROR((E578-F578)/E578,"")</f>
        <v/>
      </c>
      <c r="I578" s="6" t="n">
        <v>-26674.6</v>
      </c>
    </row>
    <row r="579">
      <c r="A579" t="inlineStr">
        <is>
          <t>Seremban</t>
        </is>
      </c>
      <c r="B579" t="inlineStr">
        <is>
          <t>SRB-SCM</t>
        </is>
      </c>
      <c r="C579" t="inlineStr">
        <is>
          <t>Supply Chain</t>
        </is>
      </c>
      <c r="D579" s="7" t="n">
        <v>45200</v>
      </c>
      <c r="E579" s="6" t="n">
        <v>282157.51</v>
      </c>
      <c r="F579" s="6" t="n">
        <v>316323.79</v>
      </c>
      <c r="G579" s="6">
        <f>E579-F579</f>
        <v/>
      </c>
      <c r="H579" s="8">
        <f>IFERROR((E579-F579)/E579,"")</f>
        <v/>
      </c>
      <c r="I579" s="6" t="n">
        <v>-60840.88</v>
      </c>
    </row>
    <row r="580">
      <c r="A580" t="inlineStr">
        <is>
          <t>Seremban</t>
        </is>
      </c>
      <c r="B580" t="inlineStr">
        <is>
          <t>SRB-SCM</t>
        </is>
      </c>
      <c r="C580" t="inlineStr">
        <is>
          <t>Supply Chain</t>
        </is>
      </c>
      <c r="D580" s="7" t="n">
        <v>45231</v>
      </c>
      <c r="E580" s="6" t="n">
        <v>287745.98</v>
      </c>
      <c r="F580" s="6" t="n">
        <v>316824.68</v>
      </c>
      <c r="G580" s="6">
        <f>E580-F580</f>
        <v/>
      </c>
      <c r="H580" s="8">
        <f>IFERROR((E580-F580)/E580,"")</f>
        <v/>
      </c>
      <c r="I580" s="6" t="n">
        <v>-89919.58</v>
      </c>
    </row>
    <row r="581">
      <c r="A581" t="inlineStr">
        <is>
          <t>Seremban</t>
        </is>
      </c>
      <c r="B581" t="inlineStr">
        <is>
          <t>SRB-SCM</t>
        </is>
      </c>
      <c r="C581" t="inlineStr">
        <is>
          <t>Supply Chain</t>
        </is>
      </c>
      <c r="D581" s="7" t="n">
        <v>45261</v>
      </c>
      <c r="E581" s="6" t="n">
        <v>289192.19</v>
      </c>
      <c r="F581" s="6" t="n">
        <v>325884.19</v>
      </c>
      <c r="G581" s="6">
        <f>E581-F581</f>
        <v/>
      </c>
      <c r="H581" s="8">
        <f>IFERROR((E581-F581)/E581,"")</f>
        <v/>
      </c>
      <c r="I581" s="6" t="n">
        <v>-126611.58</v>
      </c>
    </row>
    <row r="582">
      <c r="A582" t="inlineStr">
        <is>
          <t>Seremban</t>
        </is>
      </c>
      <c r="B582" t="inlineStr">
        <is>
          <t>SRB-SCM</t>
        </is>
      </c>
      <c r="C582" t="inlineStr">
        <is>
          <t>Supply Chain</t>
        </is>
      </c>
      <c r="D582" s="7" t="n">
        <v>45292</v>
      </c>
      <c r="E582" s="6" t="n">
        <v>281988.79</v>
      </c>
      <c r="F582" s="6" t="n">
        <v>327736.41</v>
      </c>
      <c r="G582" s="6">
        <f>E582-F582</f>
        <v/>
      </c>
      <c r="H582" s="8">
        <f>IFERROR((E582-F582)/E582,"")</f>
        <v/>
      </c>
      <c r="I582" s="6" t="n">
        <v>-45747.62</v>
      </c>
    </row>
    <row r="583">
      <c r="A583" t="inlineStr">
        <is>
          <t>Seremban</t>
        </is>
      </c>
      <c r="B583" t="inlineStr">
        <is>
          <t>SRB-SCM</t>
        </is>
      </c>
      <c r="C583" t="inlineStr">
        <is>
          <t>Supply Chain</t>
        </is>
      </c>
      <c r="D583" s="7" t="n">
        <v>45323</v>
      </c>
      <c r="E583" s="6" t="n">
        <v>270078.75</v>
      </c>
      <c r="F583" s="6" t="n">
        <v>305156.95</v>
      </c>
      <c r="G583" s="6">
        <f>E583-F583</f>
        <v/>
      </c>
      <c r="H583" s="8">
        <f>IFERROR((E583-F583)/E583,"")</f>
        <v/>
      </c>
      <c r="I583" s="6" t="n">
        <v>-80825.82000000001</v>
      </c>
    </row>
    <row r="584">
      <c r="A584" t="inlineStr">
        <is>
          <t>Seremban</t>
        </is>
      </c>
      <c r="B584" t="inlineStr">
        <is>
          <t>SRB-SCM</t>
        </is>
      </c>
      <c r="C584" t="inlineStr">
        <is>
          <t>Supply Chain</t>
        </is>
      </c>
      <c r="D584" s="7" t="n">
        <v>45352</v>
      </c>
      <c r="E584" s="6" t="n">
        <v>262658.62</v>
      </c>
      <c r="F584" s="6" t="n">
        <v>294804.01</v>
      </c>
      <c r="G584" s="6">
        <f>E584-F584</f>
        <v/>
      </c>
      <c r="H584" s="8">
        <f>IFERROR((E584-F584)/E584,"")</f>
        <v/>
      </c>
      <c r="I584" s="6" t="n">
        <v>-112971.21</v>
      </c>
    </row>
    <row r="585">
      <c r="A585" t="inlineStr">
        <is>
          <t>Seremban</t>
        </is>
      </c>
      <c r="B585" t="inlineStr">
        <is>
          <t>SRB-SCM</t>
        </is>
      </c>
      <c r="C585" t="inlineStr">
        <is>
          <t>Supply Chain</t>
        </is>
      </c>
      <c r="D585" s="7" t="n">
        <v>45383</v>
      </c>
      <c r="E585" s="6" t="n">
        <v>252219.43</v>
      </c>
      <c r="F585" s="6" t="n">
        <v>289241.03</v>
      </c>
      <c r="G585" s="6">
        <f>E585-F585</f>
        <v/>
      </c>
      <c r="H585" s="8">
        <f>IFERROR((E585-F585)/E585,"")</f>
        <v/>
      </c>
      <c r="I585" s="6" t="n">
        <v>-149992.81</v>
      </c>
    </row>
    <row r="586">
      <c r="A586" t="inlineStr">
        <is>
          <t>Seremban</t>
        </is>
      </c>
      <c r="B586" t="inlineStr">
        <is>
          <t>SRB-SCM</t>
        </is>
      </c>
      <c r="C586" t="inlineStr">
        <is>
          <t>Supply Chain</t>
        </is>
      </c>
      <c r="D586" s="7" t="n">
        <v>45413</v>
      </c>
      <c r="E586" s="6" t="n">
        <v>247514.97</v>
      </c>
      <c r="F586" s="6" t="n">
        <v>290508.07</v>
      </c>
      <c r="G586" s="6">
        <f>E586-F586</f>
        <v/>
      </c>
      <c r="H586" s="8">
        <f>IFERROR((E586-F586)/E586,"")</f>
        <v/>
      </c>
      <c r="I586" s="6" t="n">
        <v>-192985.91</v>
      </c>
    </row>
    <row r="587">
      <c r="A587" t="inlineStr">
        <is>
          <t>Seremban</t>
        </is>
      </c>
      <c r="B587" t="inlineStr">
        <is>
          <t>SRB-SCM</t>
        </is>
      </c>
      <c r="C587" t="inlineStr">
        <is>
          <t>Supply Chain</t>
        </is>
      </c>
      <c r="D587" s="7" t="n">
        <v>45444</v>
      </c>
      <c r="E587" s="6" t="n">
        <v>248507.26</v>
      </c>
      <c r="F587" s="6" t="n">
        <v>293181.57</v>
      </c>
      <c r="G587" s="6">
        <f>E587-F587</f>
        <v/>
      </c>
      <c r="H587" s="8">
        <f>IFERROR((E587-F587)/E587,"")</f>
        <v/>
      </c>
      <c r="I587" s="6" t="n">
        <v>-237660.22</v>
      </c>
    </row>
    <row r="588">
      <c r="A588" t="inlineStr">
        <is>
          <t>Seremban</t>
        </is>
      </c>
      <c r="B588" t="inlineStr">
        <is>
          <t>SRB-SCM</t>
        </is>
      </c>
      <c r="C588" t="inlineStr">
        <is>
          <t>Supply Chain</t>
        </is>
      </c>
      <c r="D588" s="7" t="n">
        <v>45474</v>
      </c>
      <c r="E588" s="6" t="n">
        <v>251350.52</v>
      </c>
      <c r="F588" s="6" t="n">
        <v>295121.48</v>
      </c>
      <c r="G588" s="6">
        <f>E588-F588</f>
        <v/>
      </c>
      <c r="H588" s="8">
        <f>IFERROR((E588-F588)/E588,"")</f>
        <v/>
      </c>
      <c r="I588" s="6" t="n">
        <v>-281431.18</v>
      </c>
    </row>
    <row r="589">
      <c r="A589" t="inlineStr">
        <is>
          <t>Seremban</t>
        </is>
      </c>
      <c r="B589" t="inlineStr">
        <is>
          <t>SRB-SCM</t>
        </is>
      </c>
      <c r="C589" t="inlineStr">
        <is>
          <t>Supply Chain</t>
        </is>
      </c>
      <c r="D589" s="7" t="n">
        <v>45505</v>
      </c>
      <c r="E589" s="6" t="n">
        <v>257403.06</v>
      </c>
      <c r="F589" s="6" t="n">
        <v>298721.01</v>
      </c>
      <c r="G589" s="6">
        <f>E589-F589</f>
        <v/>
      </c>
      <c r="H589" s="8">
        <f>IFERROR((E589-F589)/E589,"")</f>
        <v/>
      </c>
      <c r="I589" s="6" t="n">
        <v>-322749.13</v>
      </c>
    </row>
    <row r="590">
      <c r="A590" t="inlineStr">
        <is>
          <t>Seremban</t>
        </is>
      </c>
      <c r="B590" t="inlineStr">
        <is>
          <t>SRB-SCM</t>
        </is>
      </c>
      <c r="C590" t="inlineStr">
        <is>
          <t>Supply Chain</t>
        </is>
      </c>
      <c r="D590" s="7" t="n">
        <v>45536</v>
      </c>
      <c r="E590" s="6" t="n">
        <v>268968.02</v>
      </c>
      <c r="F590" s="6" t="n">
        <v>311989.74</v>
      </c>
      <c r="G590" s="6">
        <f>E590-F590</f>
        <v/>
      </c>
      <c r="H590" s="8">
        <f>IFERROR((E590-F590)/E590,"")</f>
        <v/>
      </c>
      <c r="I590" s="6" t="n">
        <v>-365770.85</v>
      </c>
    </row>
    <row r="591">
      <c r="A591" t="inlineStr">
        <is>
          <t>Seremban</t>
        </is>
      </c>
      <c r="B591" t="inlineStr">
        <is>
          <t>SRB-SCM</t>
        </is>
      </c>
      <c r="C591" t="inlineStr">
        <is>
          <t>Supply Chain</t>
        </is>
      </c>
      <c r="D591" s="7" t="n">
        <v>45566</v>
      </c>
      <c r="E591" s="6" t="n">
        <v>273377.47</v>
      </c>
      <c r="F591" s="6" t="n">
        <v>307350.65</v>
      </c>
      <c r="G591" s="6">
        <f>E591-F591</f>
        <v/>
      </c>
      <c r="H591" s="8">
        <f>IFERROR((E591-F591)/E591,"")</f>
        <v/>
      </c>
      <c r="I591" s="6" t="n">
        <v>-399744.03</v>
      </c>
    </row>
    <row r="592">
      <c r="A592" t="inlineStr">
        <is>
          <t>Seremban</t>
        </is>
      </c>
      <c r="B592" t="inlineStr">
        <is>
          <t>SRB-SCM</t>
        </is>
      </c>
      <c r="C592" t="inlineStr">
        <is>
          <t>Supply Chain</t>
        </is>
      </c>
      <c r="D592" s="7" t="n">
        <v>45597</v>
      </c>
      <c r="E592" s="6" t="n">
        <v>276945.04</v>
      </c>
      <c r="F592" s="6" t="n">
        <v>308136.56</v>
      </c>
      <c r="G592" s="6">
        <f>E592-F592</f>
        <v/>
      </c>
      <c r="H592" s="8">
        <f>IFERROR((E592-F592)/E592,"")</f>
        <v/>
      </c>
      <c r="I592" s="6" t="n">
        <v>-430935.55</v>
      </c>
    </row>
    <row r="593">
      <c r="A593" t="inlineStr">
        <is>
          <t>Seremban</t>
        </is>
      </c>
      <c r="B593" t="inlineStr">
        <is>
          <t>SRB-SCM</t>
        </is>
      </c>
      <c r="C593" t="inlineStr">
        <is>
          <t>Supply Chain</t>
        </is>
      </c>
      <c r="D593" s="7" t="n">
        <v>45627</v>
      </c>
      <c r="E593" s="6" t="n">
        <v>279045.41</v>
      </c>
      <c r="F593" s="6" t="n">
        <v>313461.4</v>
      </c>
      <c r="G593" s="6">
        <f>E593-F593</f>
        <v/>
      </c>
      <c r="H593" s="8">
        <f>IFERROR((E593-F593)/E593,"")</f>
        <v/>
      </c>
      <c r="I593" s="6" t="n">
        <v>-465351.54</v>
      </c>
    </row>
    <row r="594">
      <c r="A594" t="inlineStr">
        <is>
          <t>Seremban</t>
        </is>
      </c>
      <c r="B594" t="inlineStr">
        <is>
          <t>SRB-SCM</t>
        </is>
      </c>
      <c r="C594" t="inlineStr">
        <is>
          <t>Supply Chain</t>
        </is>
      </c>
      <c r="D594" s="7" t="n">
        <v>45658</v>
      </c>
      <c r="E594" s="6" t="n">
        <v>270317.82</v>
      </c>
      <c r="F594" s="6" t="n">
        <v>302510.79</v>
      </c>
      <c r="G594" s="6">
        <f>E594-F594</f>
        <v/>
      </c>
      <c r="H594" s="8">
        <f>IFERROR((E594-F594)/E594,"")</f>
        <v/>
      </c>
      <c r="I594" s="6" t="n">
        <v>-32192.97</v>
      </c>
    </row>
    <row r="595">
      <c r="A595" t="inlineStr">
        <is>
          <t>Seremban</t>
        </is>
      </c>
      <c r="B595" t="inlineStr">
        <is>
          <t>SRB-SCM</t>
        </is>
      </c>
      <c r="C595" t="inlineStr">
        <is>
          <t>Supply Chain</t>
        </is>
      </c>
      <c r="D595" s="7" t="n">
        <v>45689</v>
      </c>
      <c r="E595" s="6" t="n">
        <v>263437.1</v>
      </c>
      <c r="F595" s="6" t="n">
        <v>299875.58</v>
      </c>
      <c r="G595" s="6">
        <f>E595-F595</f>
        <v/>
      </c>
      <c r="H595" s="8">
        <f>IFERROR((E595-F595)/E595,"")</f>
        <v/>
      </c>
      <c r="I595" s="6" t="n">
        <v>-68631.45</v>
      </c>
    </row>
    <row r="596">
      <c r="A596" t="inlineStr">
        <is>
          <t>Seremban</t>
        </is>
      </c>
      <c r="B596" t="inlineStr">
        <is>
          <t>SRB-SCM</t>
        </is>
      </c>
      <c r="C596" t="inlineStr">
        <is>
          <t>Supply Chain</t>
        </is>
      </c>
      <c r="D596" s="7" t="n">
        <v>45717</v>
      </c>
      <c r="E596" s="6" t="n">
        <v>254319.65</v>
      </c>
      <c r="F596" s="6" t="n">
        <v>288281.91</v>
      </c>
      <c r="G596" s="6">
        <f>E596-F596</f>
        <v/>
      </c>
      <c r="H596" s="8">
        <f>IFERROR((E596-F596)/E596,"")</f>
        <v/>
      </c>
      <c r="I596" s="6" t="n">
        <v>-102593.71</v>
      </c>
    </row>
    <row r="597">
      <c r="A597" t="inlineStr">
        <is>
          <t>Seremban</t>
        </is>
      </c>
      <c r="B597" t="inlineStr">
        <is>
          <t>SRB-SCM</t>
        </is>
      </c>
      <c r="C597" t="inlineStr">
        <is>
          <t>Supply Chain</t>
        </is>
      </c>
      <c r="D597" s="7" t="n">
        <v>45748</v>
      </c>
      <c r="E597" s="6" t="n">
        <v>244255.14</v>
      </c>
      <c r="F597" s="6" t="n">
        <v>295780.09</v>
      </c>
      <c r="G597" s="6">
        <f>E597-F597</f>
        <v/>
      </c>
      <c r="H597" s="8">
        <f>IFERROR((E597-F597)/E597,"")</f>
        <v/>
      </c>
      <c r="I597" s="6" t="n">
        <v>-154118.66</v>
      </c>
    </row>
    <row r="598">
      <c r="A598" t="inlineStr">
        <is>
          <t>Seremban</t>
        </is>
      </c>
      <c r="B598" t="inlineStr">
        <is>
          <t>SRB-SCM</t>
        </is>
      </c>
      <c r="C598" t="inlineStr">
        <is>
          <t>Supply Chain</t>
        </is>
      </c>
      <c r="D598" s="7" t="n">
        <v>45778</v>
      </c>
      <c r="E598" s="6" t="n">
        <v>236898.48</v>
      </c>
      <c r="F598" s="6" t="n">
        <v>280280.44</v>
      </c>
      <c r="G598" s="6">
        <f>E598-F598</f>
        <v/>
      </c>
      <c r="H598" s="8">
        <f>IFERROR((E598-F598)/E598,"")</f>
        <v/>
      </c>
      <c r="I598" s="6" t="n">
        <v>-197500.62</v>
      </c>
    </row>
    <row r="599">
      <c r="A599" t="inlineStr">
        <is>
          <t>Seremban</t>
        </is>
      </c>
      <c r="B599" t="inlineStr">
        <is>
          <t>SRB-SCM</t>
        </is>
      </c>
      <c r="C599" t="inlineStr">
        <is>
          <t>Supply Chain</t>
        </is>
      </c>
      <c r="D599" s="7" t="n">
        <v>45809</v>
      </c>
      <c r="E599" s="6" t="n">
        <v>236847.6</v>
      </c>
      <c r="F599" s="6" t="n">
        <v>309312.07</v>
      </c>
      <c r="G599" s="6">
        <f>E599-F599</f>
        <v/>
      </c>
      <c r="H599" s="8">
        <f>IFERROR((E599-F599)/E599,"")</f>
        <v/>
      </c>
      <c r="I599" s="6" t="n">
        <v>-269965.09</v>
      </c>
    </row>
    <row r="600">
      <c r="A600" t="inlineStr">
        <is>
          <t>Seremban</t>
        </is>
      </c>
      <c r="B600" t="inlineStr">
        <is>
          <t>SRB-SCM</t>
        </is>
      </c>
      <c r="C600" t="inlineStr">
        <is>
          <t>Supply Chain</t>
        </is>
      </c>
      <c r="D600" s="7" t="n">
        <v>45839</v>
      </c>
      <c r="E600" s="6" t="n">
        <v>240719.74</v>
      </c>
      <c r="F600" s="6" t="n">
        <v>323474.42</v>
      </c>
      <c r="G600" s="6">
        <f>E600-F600</f>
        <v/>
      </c>
      <c r="H600" s="8">
        <f>IFERROR((E600-F600)/E600,"")</f>
        <v/>
      </c>
      <c r="I600" s="6" t="n">
        <v>-352719.77</v>
      </c>
    </row>
    <row r="601">
      <c r="A601" t="inlineStr">
        <is>
          <t>Seremban</t>
        </is>
      </c>
      <c r="B601" t="inlineStr">
        <is>
          <t>SRB-SCM</t>
        </is>
      </c>
      <c r="C601" t="inlineStr">
        <is>
          <t>Supply Chain</t>
        </is>
      </c>
      <c r="D601" s="7" t="n">
        <v>45870</v>
      </c>
      <c r="E601" s="6" t="n">
        <v>249704.67</v>
      </c>
      <c r="F601" s="6" t="n">
        <v>317115.71</v>
      </c>
      <c r="G601" s="6">
        <f>E601-F601</f>
        <v/>
      </c>
      <c r="H601" s="8">
        <f>IFERROR((E601-F601)/E601,"")</f>
        <v/>
      </c>
      <c r="I601" s="6" t="n">
        <v>-420130.81</v>
      </c>
    </row>
    <row r="602">
      <c r="A602" t="inlineStr">
        <is>
          <t>Seremban</t>
        </is>
      </c>
      <c r="B602" t="inlineStr">
        <is>
          <t>SRB-SCM</t>
        </is>
      </c>
      <c r="C602" t="inlineStr">
        <is>
          <t>Supply Chain</t>
        </is>
      </c>
      <c r="D602" s="7" t="n">
        <v>45901</v>
      </c>
      <c r="E602" s="6" t="n">
        <v>255854.96</v>
      </c>
      <c r="F602" s="6" t="n">
        <v>312694.84</v>
      </c>
      <c r="G602" s="6">
        <f>E602-F602</f>
        <v/>
      </c>
      <c r="H602" s="8">
        <f>IFERROR((E602-F602)/E602,"")</f>
        <v/>
      </c>
      <c r="I602" s="6" t="n">
        <v>-476970.69</v>
      </c>
    </row>
    <row r="603">
      <c r="A603" t="inlineStr">
        <is>
          <t>Seremban</t>
        </is>
      </c>
      <c r="B603" t="inlineStr">
        <is>
          <t>SRB-SCM</t>
        </is>
      </c>
      <c r="C603" t="inlineStr">
        <is>
          <t>Supply Chain</t>
        </is>
      </c>
      <c r="D603" s="7" t="n">
        <v>45931</v>
      </c>
      <c r="E603" s="6" t="n">
        <v>261836.66</v>
      </c>
      <c r="F603" s="6" t="n">
        <v>292202.02</v>
      </c>
      <c r="G603" s="6">
        <f>E603-F603</f>
        <v/>
      </c>
      <c r="H603" s="8">
        <f>IFERROR((E603-F603)/E603,"")</f>
        <v/>
      </c>
      <c r="I603" s="6" t="n">
        <v>-507336.05</v>
      </c>
    </row>
    <row r="604">
      <c r="A604" t="inlineStr">
        <is>
          <t>Seremban</t>
        </is>
      </c>
      <c r="B604" t="inlineStr">
        <is>
          <t>SRB-SCM</t>
        </is>
      </c>
      <c r="C604" t="inlineStr">
        <is>
          <t>Supply Chain</t>
        </is>
      </c>
      <c r="D604" s="7" t="n">
        <v>45962</v>
      </c>
      <c r="E604" s="6" t="n">
        <v>268701.21</v>
      </c>
      <c r="F604" s="6" t="n">
        <v>302624.11</v>
      </c>
      <c r="G604" s="6">
        <f>E604-F604</f>
        <v/>
      </c>
      <c r="H604" s="8">
        <f>IFERROR((E604-F604)/E604,"")</f>
        <v/>
      </c>
      <c r="I604" s="6" t="n">
        <v>-541258.95</v>
      </c>
    </row>
    <row r="605">
      <c r="A605" t="inlineStr">
        <is>
          <t>Seremban</t>
        </is>
      </c>
      <c r="B605" t="inlineStr">
        <is>
          <t>SRB-SCM</t>
        </is>
      </c>
      <c r="C605" t="inlineStr">
        <is>
          <t>Supply Chain</t>
        </is>
      </c>
      <c r="D605" s="7" t="n">
        <v>45992</v>
      </c>
      <c r="E605" s="6" t="n">
        <v>267628.51</v>
      </c>
      <c r="F605" s="6" t="n">
        <v>308761.31</v>
      </c>
      <c r="G605" s="6">
        <f>E605-F605</f>
        <v/>
      </c>
      <c r="H605" s="8">
        <f>IFERROR((E605-F605)/E605,"")</f>
        <v/>
      </c>
      <c r="I605" s="6" t="n">
        <v>-582391.75</v>
      </c>
    </row>
    <row r="606">
      <c r="A606" t="inlineStr">
        <is>
          <t>Seremban</t>
        </is>
      </c>
      <c r="B606" t="inlineStr">
        <is>
          <t>SRB-SCM</t>
        </is>
      </c>
      <c r="C606" t="inlineStr">
        <is>
          <t>Supply Chain</t>
        </is>
      </c>
      <c r="D606" s="7" t="n">
        <v>46023</v>
      </c>
      <c r="E606" s="6" t="n">
        <v>262140.96</v>
      </c>
      <c r="F606" s="6" t="n">
        <v>303602.23</v>
      </c>
      <c r="G606" s="6">
        <f>E606-F606</f>
        <v/>
      </c>
      <c r="H606" s="8">
        <f>IFERROR((E606-F606)/E606,"")</f>
        <v/>
      </c>
      <c r="I606" s="6" t="n">
        <v>-41461.27</v>
      </c>
    </row>
    <row r="607">
      <c r="A607" t="inlineStr">
        <is>
          <t>Seremban</t>
        </is>
      </c>
      <c r="B607" t="inlineStr">
        <is>
          <t>SRB-SCM</t>
        </is>
      </c>
      <c r="C607" t="inlineStr">
        <is>
          <t>Supply Chain</t>
        </is>
      </c>
      <c r="D607" s="7" t="n">
        <v>46054</v>
      </c>
      <c r="E607" s="6" t="n">
        <v>253602.12</v>
      </c>
      <c r="F607" s="6" t="n">
        <v>291736.63</v>
      </c>
      <c r="G607" s="6">
        <f>E607-F607</f>
        <v/>
      </c>
      <c r="H607" s="8">
        <f>IFERROR((E607-F607)/E607,"")</f>
        <v/>
      </c>
      <c r="I607" s="6" t="n">
        <v>-79595.78</v>
      </c>
    </row>
    <row r="608">
      <c r="A608" t="inlineStr">
        <is>
          <t>Seremban</t>
        </is>
      </c>
      <c r="B608" t="inlineStr">
        <is>
          <t>SRB-SCM</t>
        </is>
      </c>
      <c r="C608" t="inlineStr">
        <is>
          <t>Supply Chain</t>
        </is>
      </c>
      <c r="D608" s="7" t="n">
        <v>46082</v>
      </c>
      <c r="E608" s="6" t="n">
        <v>242367.43</v>
      </c>
      <c r="F608" s="6" t="n">
        <v>282865.43</v>
      </c>
      <c r="G608" s="6">
        <f>E608-F608</f>
        <v/>
      </c>
      <c r="H608" s="8">
        <f>IFERROR((E608-F608)/E608,"")</f>
        <v/>
      </c>
      <c r="I608" s="6" t="n">
        <v>-120093.78</v>
      </c>
    </row>
    <row r="609">
      <c r="A609" t="inlineStr">
        <is>
          <t>Seremban</t>
        </is>
      </c>
      <c r="B609" t="inlineStr">
        <is>
          <t>SRB-SCM</t>
        </is>
      </c>
      <c r="C609" t="inlineStr">
        <is>
          <t>Supply Chain</t>
        </is>
      </c>
      <c r="D609" s="7" t="n">
        <v>46113</v>
      </c>
      <c r="E609" s="6" t="n">
        <v>234132.84</v>
      </c>
      <c r="F609" s="6" t="n">
        <v>284869.95</v>
      </c>
      <c r="G609" s="6">
        <f>E609-F609</f>
        <v/>
      </c>
      <c r="H609" s="8">
        <f>IFERROR((E609-F609)/E609,"")</f>
        <v/>
      </c>
      <c r="I609" s="6" t="n">
        <v>-170830.89</v>
      </c>
    </row>
    <row r="610">
      <c r="A610" t="inlineStr">
        <is>
          <t>Seremban</t>
        </is>
      </c>
      <c r="B610" t="inlineStr">
        <is>
          <t>SRB-SCM</t>
        </is>
      </c>
      <c r="C610" t="inlineStr">
        <is>
          <t>Supply Chain</t>
        </is>
      </c>
      <c r="D610" s="7" t="n">
        <v>46143</v>
      </c>
      <c r="E610" s="6" t="n">
        <v>226606.06</v>
      </c>
      <c r="F610" s="6" t="n">
        <v>289320.43</v>
      </c>
      <c r="G610" s="6">
        <f>E610-F610</f>
        <v/>
      </c>
      <c r="H610" s="8">
        <f>IFERROR((E610-F610)/E610,"")</f>
        <v/>
      </c>
      <c r="I610" s="6" t="n">
        <v>-233545.26</v>
      </c>
    </row>
    <row r="611">
      <c r="A611" t="inlineStr">
        <is>
          <t>Seremban</t>
        </is>
      </c>
      <c r="B611" t="inlineStr">
        <is>
          <t>SRB-SCM</t>
        </is>
      </c>
      <c r="C611" t="inlineStr">
        <is>
          <t>Supply Chain</t>
        </is>
      </c>
      <c r="D611" s="7" t="n">
        <v>46174</v>
      </c>
      <c r="E611" s="6" t="n">
        <v>227272.11</v>
      </c>
      <c r="F611" s="6" t="n">
        <v>291693.43</v>
      </c>
      <c r="G611" s="6">
        <f>E611-F611</f>
        <v/>
      </c>
      <c r="H611" s="8">
        <f>IFERROR((E611-F611)/E611,"")</f>
        <v/>
      </c>
      <c r="I611" s="6" t="n">
        <v>-297966.58</v>
      </c>
    </row>
    <row r="612">
      <c r="A612" t="inlineStr">
        <is>
          <t>Seremban</t>
        </is>
      </c>
      <c r="B612" t="inlineStr">
        <is>
          <t>SRB-SCM</t>
        </is>
      </c>
      <c r="C612" t="inlineStr">
        <is>
          <t>Supply Chain</t>
        </is>
      </c>
      <c r="D612" s="7" t="n">
        <v>46204</v>
      </c>
      <c r="E612" s="6" t="n">
        <v>231472.6</v>
      </c>
      <c r="F612" s="6" t="n">
        <v>280458.64</v>
      </c>
      <c r="G612" s="6">
        <f>E612-F612</f>
        <v/>
      </c>
      <c r="H612" s="8">
        <f>IFERROR((E612-F612)/E612,"")</f>
        <v/>
      </c>
      <c r="I612" s="6" t="n">
        <v>-346952.62</v>
      </c>
    </row>
    <row r="613">
      <c r="A613" t="inlineStr">
        <is>
          <t>Seremban</t>
        </is>
      </c>
      <c r="B613" t="inlineStr">
        <is>
          <t>SRB-SCM</t>
        </is>
      </c>
      <c r="C613" t="inlineStr">
        <is>
          <t>Supply Chain</t>
        </is>
      </c>
      <c r="D613" s="7" t="n">
        <v>46235</v>
      </c>
      <c r="E613" s="6" t="n">
        <v>236297.9</v>
      </c>
      <c r="F613" s="6" t="n">
        <v>288901.23</v>
      </c>
      <c r="G613" s="6">
        <f>E613-F613</f>
        <v/>
      </c>
      <c r="H613" s="8">
        <f>IFERROR((E613-F613)/E613,"")</f>
        <v/>
      </c>
      <c r="I613" s="6" t="n">
        <v>-399555.95</v>
      </c>
    </row>
    <row r="614">
      <c r="A614" t="inlineStr">
        <is>
          <t>Seremban</t>
        </is>
      </c>
      <c r="B614" t="inlineStr">
        <is>
          <t>SRB-ENG</t>
        </is>
      </c>
      <c r="C614" t="inlineStr">
        <is>
          <t>Engineering</t>
        </is>
      </c>
      <c r="D614" s="7" t="n">
        <v>45170</v>
      </c>
      <c r="E614" s="6" t="n">
        <v>504551.06</v>
      </c>
      <c r="F614" s="6" t="n">
        <v>465758.71</v>
      </c>
      <c r="G614" s="6">
        <f>E614-F614</f>
        <v/>
      </c>
      <c r="H614" s="8">
        <f>IFERROR((E614-F614)/E614,"")</f>
        <v/>
      </c>
      <c r="I614" s="6" t="n">
        <v>38792.35</v>
      </c>
    </row>
    <row r="615">
      <c r="A615" t="inlineStr">
        <is>
          <t>Seremban</t>
        </is>
      </c>
      <c r="B615" t="inlineStr">
        <is>
          <t>SRB-ENG</t>
        </is>
      </c>
      <c r="C615" t="inlineStr">
        <is>
          <t>Engineering</t>
        </is>
      </c>
      <c r="D615" s="7" t="n">
        <v>45200</v>
      </c>
      <c r="E615" s="6" t="n">
        <v>514788</v>
      </c>
      <c r="F615" s="6" t="n">
        <v>478048.17</v>
      </c>
      <c r="G615" s="6">
        <f>E615-F615</f>
        <v/>
      </c>
      <c r="H615" s="8">
        <f>IFERROR((E615-F615)/E615,"")</f>
        <v/>
      </c>
      <c r="I615" s="6" t="n">
        <v>75532.17999999999</v>
      </c>
    </row>
    <row r="616">
      <c r="A616" t="inlineStr">
        <is>
          <t>Seremban</t>
        </is>
      </c>
      <c r="B616" t="inlineStr">
        <is>
          <t>SRB-ENG</t>
        </is>
      </c>
      <c r="C616" t="inlineStr">
        <is>
          <t>Engineering</t>
        </is>
      </c>
      <c r="D616" s="7" t="n">
        <v>45231</v>
      </c>
      <c r="E616" s="6" t="n">
        <v>522151.91</v>
      </c>
      <c r="F616" s="6" t="n">
        <v>487081.72</v>
      </c>
      <c r="G616" s="6">
        <f>E616-F616</f>
        <v/>
      </c>
      <c r="H616" s="8">
        <f>IFERROR((E616-F616)/E616,"")</f>
        <v/>
      </c>
      <c r="I616" s="6" t="n">
        <v>110602.37</v>
      </c>
    </row>
    <row r="617">
      <c r="A617" t="inlineStr">
        <is>
          <t>Seremban</t>
        </is>
      </c>
      <c r="B617" t="inlineStr">
        <is>
          <t>SRB-ENG</t>
        </is>
      </c>
      <c r="C617" t="inlineStr">
        <is>
          <t>Engineering</t>
        </is>
      </c>
      <c r="D617" s="7" t="n">
        <v>45261</v>
      </c>
      <c r="E617" s="6" t="n">
        <v>524237.94</v>
      </c>
      <c r="F617" s="6" t="n">
        <v>503636.86</v>
      </c>
      <c r="G617" s="6">
        <f>E617-F617</f>
        <v/>
      </c>
      <c r="H617" s="8">
        <f>IFERROR((E617-F617)/E617,"")</f>
        <v/>
      </c>
      <c r="I617" s="6" t="n">
        <v>131203.45</v>
      </c>
    </row>
    <row r="618">
      <c r="A618" t="inlineStr">
        <is>
          <t>Seremban</t>
        </is>
      </c>
      <c r="B618" t="inlineStr">
        <is>
          <t>SRB-ENG</t>
        </is>
      </c>
      <c r="C618" t="inlineStr">
        <is>
          <t>Engineering</t>
        </is>
      </c>
      <c r="D618" s="7" t="n">
        <v>45292</v>
      </c>
      <c r="E618" s="6" t="n">
        <v>509093.7</v>
      </c>
      <c r="F618" s="6" t="n">
        <v>488492.64</v>
      </c>
      <c r="G618" s="6">
        <f>E618-F618</f>
        <v/>
      </c>
      <c r="H618" s="8">
        <f>IFERROR((E618-F618)/E618,"")</f>
        <v/>
      </c>
      <c r="I618" s="6" t="n">
        <v>20601.06</v>
      </c>
    </row>
    <row r="619">
      <c r="A619" t="inlineStr">
        <is>
          <t>Seremban</t>
        </is>
      </c>
      <c r="B619" t="inlineStr">
        <is>
          <t>SRB-ENG</t>
        </is>
      </c>
      <c r="C619" t="inlineStr">
        <is>
          <t>Engineering</t>
        </is>
      </c>
      <c r="D619" s="7" t="n">
        <v>45323</v>
      </c>
      <c r="E619" s="6" t="n">
        <v>496391.22</v>
      </c>
      <c r="F619" s="6" t="n">
        <v>496610.58</v>
      </c>
      <c r="G619" s="6">
        <f>E619-F619</f>
        <v/>
      </c>
      <c r="H619" s="8">
        <f>IFERROR((E619-F619)/E619,"")</f>
        <v/>
      </c>
      <c r="I619" s="6" t="n">
        <v>20381.7</v>
      </c>
    </row>
    <row r="620">
      <c r="A620" t="inlineStr">
        <is>
          <t>Seremban</t>
        </is>
      </c>
      <c r="B620" t="inlineStr">
        <is>
          <t>SRB-ENG</t>
        </is>
      </c>
      <c r="C620" t="inlineStr">
        <is>
          <t>Engineering</t>
        </is>
      </c>
      <c r="D620" s="7" t="n">
        <v>45352</v>
      </c>
      <c r="E620" s="6" t="n">
        <v>475535.19</v>
      </c>
      <c r="F620" s="6" t="n">
        <v>484751.74</v>
      </c>
      <c r="G620" s="6">
        <f>E620-F620</f>
        <v/>
      </c>
      <c r="H620" s="8">
        <f>IFERROR((E620-F620)/E620,"")</f>
        <v/>
      </c>
      <c r="I620" s="6" t="n">
        <v>11165.15</v>
      </c>
    </row>
    <row r="621">
      <c r="A621" t="inlineStr">
        <is>
          <t>Seremban</t>
        </is>
      </c>
      <c r="B621" t="inlineStr">
        <is>
          <t>SRB-ENG</t>
        </is>
      </c>
      <c r="C621" t="inlineStr">
        <is>
          <t>Engineering</t>
        </is>
      </c>
      <c r="D621" s="7" t="n">
        <v>45383</v>
      </c>
      <c r="E621" s="6" t="n">
        <v>460439.95</v>
      </c>
      <c r="F621" s="6" t="n">
        <v>475651.57</v>
      </c>
      <c r="G621" s="6">
        <f>E621-F621</f>
        <v/>
      </c>
      <c r="H621" s="8">
        <f>IFERROR((E621-F621)/E621,"")</f>
        <v/>
      </c>
      <c r="I621" s="6" t="n">
        <v>-4046.47</v>
      </c>
    </row>
    <row r="622">
      <c r="A622" t="inlineStr">
        <is>
          <t>Seremban</t>
        </is>
      </c>
      <c r="B622" t="inlineStr">
        <is>
          <t>SRB-ENG</t>
        </is>
      </c>
      <c r="C622" t="inlineStr">
        <is>
          <t>Engineering</t>
        </is>
      </c>
      <c r="D622" s="7" t="n">
        <v>45413</v>
      </c>
      <c r="E622" s="6" t="n">
        <v>449067.29</v>
      </c>
      <c r="F622" s="6" t="n">
        <v>472951.79</v>
      </c>
      <c r="G622" s="6">
        <f>E622-F622</f>
        <v/>
      </c>
      <c r="H622" s="8">
        <f>IFERROR((E622-F622)/E622,"")</f>
        <v/>
      </c>
      <c r="I622" s="6" t="n">
        <v>-27930.97</v>
      </c>
    </row>
    <row r="623">
      <c r="A623" t="inlineStr">
        <is>
          <t>Seremban</t>
        </is>
      </c>
      <c r="B623" t="inlineStr">
        <is>
          <t>SRB-ENG</t>
        </is>
      </c>
      <c r="C623" t="inlineStr">
        <is>
          <t>Engineering</t>
        </is>
      </c>
      <c r="D623" s="7" t="n">
        <v>45444</v>
      </c>
      <c r="E623" s="6" t="n">
        <v>449870.2</v>
      </c>
      <c r="F623" s="6" t="n">
        <v>446697.51</v>
      </c>
      <c r="G623" s="6">
        <f>E623-F623</f>
        <v/>
      </c>
      <c r="H623" s="8">
        <f>IFERROR((E623-F623)/E623,"")</f>
        <v/>
      </c>
      <c r="I623" s="6" t="n">
        <v>-24758.28</v>
      </c>
    </row>
    <row r="624">
      <c r="A624" t="inlineStr">
        <is>
          <t>Seremban</t>
        </is>
      </c>
      <c r="B624" t="inlineStr">
        <is>
          <t>SRB-ENG</t>
        </is>
      </c>
      <c r="C624" t="inlineStr">
        <is>
          <t>Engineering</t>
        </is>
      </c>
      <c r="D624" s="7" t="n">
        <v>45474</v>
      </c>
      <c r="E624" s="6" t="n">
        <v>455963.5</v>
      </c>
      <c r="F624" s="6" t="n">
        <v>445278.98</v>
      </c>
      <c r="G624" s="6">
        <f>E624-F624</f>
        <v/>
      </c>
      <c r="H624" s="8">
        <f>IFERROR((E624-F624)/E624,"")</f>
        <v/>
      </c>
      <c r="I624" s="6" t="n">
        <v>-14073.76</v>
      </c>
    </row>
    <row r="625">
      <c r="A625" t="inlineStr">
        <is>
          <t>Seremban</t>
        </is>
      </c>
      <c r="B625" t="inlineStr">
        <is>
          <t>SRB-ENG</t>
        </is>
      </c>
      <c r="C625" t="inlineStr">
        <is>
          <t>Engineering</t>
        </is>
      </c>
      <c r="D625" s="7" t="n">
        <v>45505</v>
      </c>
      <c r="E625" s="6" t="n">
        <v>469022.55</v>
      </c>
      <c r="F625" s="6" t="n">
        <v>464599.16</v>
      </c>
      <c r="G625" s="6">
        <f>E625-F625</f>
        <v/>
      </c>
      <c r="H625" s="8">
        <f>IFERROR((E625-F625)/E625,"")</f>
        <v/>
      </c>
      <c r="I625" s="6" t="n">
        <v>-9650.370000000001</v>
      </c>
    </row>
    <row r="626">
      <c r="A626" t="inlineStr">
        <is>
          <t>Seremban</t>
        </is>
      </c>
      <c r="B626" t="inlineStr">
        <is>
          <t>SRB-ENG</t>
        </is>
      </c>
      <c r="C626" t="inlineStr">
        <is>
          <t>Engineering</t>
        </is>
      </c>
      <c r="D626" s="7" t="n">
        <v>45536</v>
      </c>
      <c r="E626" s="6" t="n">
        <v>482027.29</v>
      </c>
      <c r="F626" s="6" t="n">
        <v>467406.74</v>
      </c>
      <c r="G626" s="6">
        <f>E626-F626</f>
        <v/>
      </c>
      <c r="H626" s="8">
        <f>IFERROR((E626-F626)/E626,"")</f>
        <v/>
      </c>
      <c r="I626" s="6" t="n">
        <v>4970.18</v>
      </c>
    </row>
    <row r="627">
      <c r="A627" t="inlineStr">
        <is>
          <t>Seremban</t>
        </is>
      </c>
      <c r="B627" t="inlineStr">
        <is>
          <t>SRB-ENG</t>
        </is>
      </c>
      <c r="C627" t="inlineStr">
        <is>
          <t>Engineering</t>
        </is>
      </c>
      <c r="D627" s="7" t="n">
        <v>45566</v>
      </c>
      <c r="E627" s="6" t="n">
        <v>497551.72</v>
      </c>
      <c r="F627" s="6" t="n">
        <v>476247.52</v>
      </c>
      <c r="G627" s="6">
        <f>E627-F627</f>
        <v/>
      </c>
      <c r="H627" s="8">
        <f>IFERROR((E627-F627)/E627,"")</f>
        <v/>
      </c>
      <c r="I627" s="6" t="n">
        <v>26274.38</v>
      </c>
    </row>
    <row r="628">
      <c r="A628" t="inlineStr">
        <is>
          <t>Seremban</t>
        </is>
      </c>
      <c r="B628" t="inlineStr">
        <is>
          <t>SRB-ENG</t>
        </is>
      </c>
      <c r="C628" t="inlineStr">
        <is>
          <t>Engineering</t>
        </is>
      </c>
      <c r="D628" s="7" t="n">
        <v>45597</v>
      </c>
      <c r="E628" s="6" t="n">
        <v>504737.34</v>
      </c>
      <c r="F628" s="6" t="n">
        <v>474743.67</v>
      </c>
      <c r="G628" s="6">
        <f>E628-F628</f>
        <v/>
      </c>
      <c r="H628" s="8">
        <f>IFERROR((E628-F628)/E628,"")</f>
        <v/>
      </c>
      <c r="I628" s="6" t="n">
        <v>56268.05</v>
      </c>
    </row>
    <row r="629">
      <c r="A629" t="inlineStr">
        <is>
          <t>Seremban</t>
        </is>
      </c>
      <c r="B629" t="inlineStr">
        <is>
          <t>SRB-ENG</t>
        </is>
      </c>
      <c r="C629" t="inlineStr">
        <is>
          <t>Engineering</t>
        </is>
      </c>
      <c r="D629" s="7" t="n">
        <v>45627</v>
      </c>
      <c r="E629" s="6" t="n">
        <v>503931.92</v>
      </c>
      <c r="F629" s="6" t="n">
        <v>483905.93</v>
      </c>
      <c r="G629" s="6">
        <f>E629-F629</f>
        <v/>
      </c>
      <c r="H629" s="8">
        <f>IFERROR((E629-F629)/E629,"")</f>
        <v/>
      </c>
      <c r="I629" s="6" t="n">
        <v>76294.03999999999</v>
      </c>
    </row>
    <row r="630">
      <c r="A630" t="inlineStr">
        <is>
          <t>Seremban</t>
        </is>
      </c>
      <c r="B630" t="inlineStr">
        <is>
          <t>SRB-ENG</t>
        </is>
      </c>
      <c r="C630" t="inlineStr">
        <is>
          <t>Engineering</t>
        </is>
      </c>
      <c r="D630" s="7" t="n">
        <v>45658</v>
      </c>
      <c r="E630" s="6" t="n">
        <v>491678.41</v>
      </c>
      <c r="F630" s="6" t="n">
        <v>464829.49</v>
      </c>
      <c r="G630" s="6">
        <f>E630-F630</f>
        <v/>
      </c>
      <c r="H630" s="8">
        <f>IFERROR((E630-F630)/E630,"")</f>
        <v/>
      </c>
      <c r="I630" s="6" t="n">
        <v>26848.92</v>
      </c>
    </row>
    <row r="631">
      <c r="A631" t="inlineStr">
        <is>
          <t>Seremban</t>
        </is>
      </c>
      <c r="B631" t="inlineStr">
        <is>
          <t>SRB-ENG</t>
        </is>
      </c>
      <c r="C631" t="inlineStr">
        <is>
          <t>Engineering</t>
        </is>
      </c>
      <c r="D631" s="7" t="n">
        <v>45689</v>
      </c>
      <c r="E631" s="6" t="n">
        <v>476825.75</v>
      </c>
      <c r="F631" s="6" t="n">
        <v>457655.74</v>
      </c>
      <c r="G631" s="6">
        <f>E631-F631</f>
        <v/>
      </c>
      <c r="H631" s="8">
        <f>IFERROR((E631-F631)/E631,"")</f>
        <v/>
      </c>
      <c r="I631" s="6" t="n">
        <v>46018.93</v>
      </c>
    </row>
    <row r="632">
      <c r="A632" t="inlineStr">
        <is>
          <t>Seremban</t>
        </is>
      </c>
      <c r="B632" t="inlineStr">
        <is>
          <t>SRB-ENG</t>
        </is>
      </c>
      <c r="C632" t="inlineStr">
        <is>
          <t>Engineering</t>
        </is>
      </c>
      <c r="D632" s="7" t="n">
        <v>45717</v>
      </c>
      <c r="E632" s="6" t="n">
        <v>458947.34</v>
      </c>
      <c r="F632" s="6" t="n">
        <v>425241.25</v>
      </c>
      <c r="G632" s="6">
        <f>E632-F632</f>
        <v/>
      </c>
      <c r="H632" s="8">
        <f>IFERROR((E632-F632)/E632,"")</f>
        <v/>
      </c>
      <c r="I632" s="6" t="n">
        <v>79725.02</v>
      </c>
    </row>
    <row r="633">
      <c r="A633" t="inlineStr">
        <is>
          <t>Seremban</t>
        </is>
      </c>
      <c r="B633" t="inlineStr">
        <is>
          <t>SRB-ENG</t>
        </is>
      </c>
      <c r="C633" t="inlineStr">
        <is>
          <t>Engineering</t>
        </is>
      </c>
      <c r="D633" s="7" t="n">
        <v>45748</v>
      </c>
      <c r="E633" s="6" t="n">
        <v>441614.78</v>
      </c>
      <c r="F633" s="6" t="n">
        <v>419899.39</v>
      </c>
      <c r="G633" s="6">
        <f>E633-F633</f>
        <v/>
      </c>
      <c r="H633" s="8">
        <f>IFERROR((E633-F633)/E633,"")</f>
        <v/>
      </c>
      <c r="I633" s="6" t="n">
        <v>101440.41</v>
      </c>
    </row>
    <row r="634">
      <c r="A634" t="inlineStr">
        <is>
          <t>Seremban</t>
        </is>
      </c>
      <c r="B634" t="inlineStr">
        <is>
          <t>SRB-ENG</t>
        </is>
      </c>
      <c r="C634" t="inlineStr">
        <is>
          <t>Engineering</t>
        </is>
      </c>
      <c r="D634" s="7" t="n">
        <v>45778</v>
      </c>
      <c r="E634" s="6" t="n">
        <v>430146.16</v>
      </c>
      <c r="F634" s="6" t="n">
        <v>436649.68</v>
      </c>
      <c r="G634" s="6">
        <f>E634-F634</f>
        <v/>
      </c>
      <c r="H634" s="8">
        <f>IFERROR((E634-F634)/E634,"")</f>
        <v/>
      </c>
      <c r="I634" s="6" t="n">
        <v>94936.89</v>
      </c>
    </row>
    <row r="635">
      <c r="A635" t="inlineStr">
        <is>
          <t>Seremban</t>
        </is>
      </c>
      <c r="B635" t="inlineStr">
        <is>
          <t>SRB-ENG</t>
        </is>
      </c>
      <c r="C635" t="inlineStr">
        <is>
          <t>Engineering</t>
        </is>
      </c>
      <c r="D635" s="7" t="n">
        <v>45809</v>
      </c>
      <c r="E635" s="6" t="n">
        <v>430940.36</v>
      </c>
      <c r="F635" s="6" t="n">
        <v>492485.8</v>
      </c>
      <c r="G635" s="6">
        <f>E635-F635</f>
        <v/>
      </c>
      <c r="H635" s="8">
        <f>IFERROR((E635-F635)/E635,"")</f>
        <v/>
      </c>
      <c r="I635" s="6" t="n">
        <v>33391.45</v>
      </c>
    </row>
    <row r="636">
      <c r="A636" t="inlineStr">
        <is>
          <t>Seremban</t>
        </is>
      </c>
      <c r="B636" t="inlineStr">
        <is>
          <t>SRB-ENG</t>
        </is>
      </c>
      <c r="C636" t="inlineStr">
        <is>
          <t>Engineering</t>
        </is>
      </c>
      <c r="D636" s="7" t="n">
        <v>45839</v>
      </c>
      <c r="E636" s="6" t="n">
        <v>434912.54</v>
      </c>
      <c r="F636" s="6" t="n">
        <v>466242.87</v>
      </c>
      <c r="G636" s="6">
        <f>E636-F636</f>
        <v/>
      </c>
      <c r="H636" s="8">
        <f>IFERROR((E636-F636)/E636,"")</f>
        <v/>
      </c>
      <c r="I636" s="6" t="n">
        <v>2061.12</v>
      </c>
    </row>
    <row r="637">
      <c r="A637" t="inlineStr">
        <is>
          <t>Seremban</t>
        </is>
      </c>
      <c r="B637" t="inlineStr">
        <is>
          <t>SRB-ENG</t>
        </is>
      </c>
      <c r="C637" t="inlineStr">
        <is>
          <t>Engineering</t>
        </is>
      </c>
      <c r="D637" s="7" t="n">
        <v>45870</v>
      </c>
      <c r="E637" s="6" t="n">
        <v>452882.55</v>
      </c>
      <c r="F637" s="6" t="n">
        <v>493813.48</v>
      </c>
      <c r="G637" s="6">
        <f>E637-F637</f>
        <v/>
      </c>
      <c r="H637" s="8">
        <f>IFERROR((E637-F637)/E637,"")</f>
        <v/>
      </c>
      <c r="I637" s="6" t="n">
        <v>-38869.81</v>
      </c>
    </row>
    <row r="638">
      <c r="A638" t="inlineStr">
        <is>
          <t>Seremban</t>
        </is>
      </c>
      <c r="B638" t="inlineStr">
        <is>
          <t>SRB-ENG</t>
        </is>
      </c>
      <c r="C638" t="inlineStr">
        <is>
          <t>Engineering</t>
        </is>
      </c>
      <c r="D638" s="7" t="n">
        <v>45901</v>
      </c>
      <c r="E638" s="6" t="n">
        <v>465110.39</v>
      </c>
      <c r="F638" s="6" t="n">
        <v>496650.18</v>
      </c>
      <c r="G638" s="6">
        <f>E638-F638</f>
        <v/>
      </c>
      <c r="H638" s="8">
        <f>IFERROR((E638-F638)/E638,"")</f>
        <v/>
      </c>
      <c r="I638" s="6" t="n">
        <v>-70409.60000000001</v>
      </c>
    </row>
    <row r="639">
      <c r="A639" t="inlineStr">
        <is>
          <t>Seremban</t>
        </is>
      </c>
      <c r="B639" t="inlineStr">
        <is>
          <t>SRB-ENG</t>
        </is>
      </c>
      <c r="C639" t="inlineStr">
        <is>
          <t>Engineering</t>
        </is>
      </c>
      <c r="D639" s="7" t="n">
        <v>45931</v>
      </c>
      <c r="E639" s="6" t="n">
        <v>476274.07</v>
      </c>
      <c r="F639" s="6" t="n">
        <v>501218.08</v>
      </c>
      <c r="G639" s="6">
        <f>E639-F639</f>
        <v/>
      </c>
      <c r="H639" s="8">
        <f>IFERROR((E639-F639)/E639,"")</f>
        <v/>
      </c>
      <c r="I639" s="6" t="n">
        <v>-95353.61</v>
      </c>
    </row>
    <row r="640">
      <c r="A640" t="inlineStr">
        <is>
          <t>Seremban</t>
        </is>
      </c>
      <c r="B640" t="inlineStr">
        <is>
          <t>SRB-ENG</t>
        </is>
      </c>
      <c r="C640" t="inlineStr">
        <is>
          <t>Engineering</t>
        </is>
      </c>
      <c r="D640" s="7" t="n">
        <v>45962</v>
      </c>
      <c r="E640" s="6" t="n">
        <v>486618.06</v>
      </c>
      <c r="F640" s="6" t="n">
        <v>521139.32</v>
      </c>
      <c r="G640" s="6">
        <f>E640-F640</f>
        <v/>
      </c>
      <c r="H640" s="8">
        <f>IFERROR((E640-F640)/E640,"")</f>
        <v/>
      </c>
      <c r="I640" s="6" t="n">
        <v>-129874.87</v>
      </c>
    </row>
    <row r="641">
      <c r="A641" t="inlineStr">
        <is>
          <t>Seremban</t>
        </is>
      </c>
      <c r="B641" t="inlineStr">
        <is>
          <t>SRB-ENG</t>
        </is>
      </c>
      <c r="C641" t="inlineStr">
        <is>
          <t>Engineering</t>
        </is>
      </c>
      <c r="D641" s="7" t="n">
        <v>45992</v>
      </c>
      <c r="E641" s="6" t="n">
        <v>480502.47</v>
      </c>
      <c r="F641" s="6" t="n">
        <v>528372.42</v>
      </c>
      <c r="G641" s="6">
        <f>E641-F641</f>
        <v/>
      </c>
      <c r="H641" s="8">
        <f>IFERROR((E641-F641)/E641,"")</f>
        <v/>
      </c>
      <c r="I641" s="6" t="n">
        <v>-177744.82</v>
      </c>
    </row>
    <row r="642">
      <c r="A642" t="inlineStr">
        <is>
          <t>Seremban</t>
        </is>
      </c>
      <c r="B642" t="inlineStr">
        <is>
          <t>SRB-ENG</t>
        </is>
      </c>
      <c r="C642" t="inlineStr">
        <is>
          <t>Engineering</t>
        </is>
      </c>
      <c r="D642" s="7" t="n">
        <v>46023</v>
      </c>
      <c r="E642" s="6" t="n">
        <v>471224.79</v>
      </c>
      <c r="F642" s="6" t="n">
        <v>510856.55</v>
      </c>
      <c r="G642" s="6">
        <f>E642-F642</f>
        <v/>
      </c>
      <c r="H642" s="8">
        <f>IFERROR((E642-F642)/E642,"")</f>
        <v/>
      </c>
      <c r="I642" s="6" t="n">
        <v>-39631.76</v>
      </c>
    </row>
    <row r="643">
      <c r="A643" t="inlineStr">
        <is>
          <t>Seremban</t>
        </is>
      </c>
      <c r="B643" t="inlineStr">
        <is>
          <t>SRB-ENG</t>
        </is>
      </c>
      <c r="C643" t="inlineStr">
        <is>
          <t>Engineering</t>
        </is>
      </c>
      <c r="D643" s="7" t="n">
        <v>46054</v>
      </c>
      <c r="E643" s="6" t="n">
        <v>458322.76</v>
      </c>
      <c r="F643" s="6" t="n">
        <v>500184.85</v>
      </c>
      <c r="G643" s="6">
        <f>E643-F643</f>
        <v/>
      </c>
      <c r="H643" s="8">
        <f>IFERROR((E643-F643)/E643,"")</f>
        <v/>
      </c>
      <c r="I643" s="6" t="n">
        <v>-81493.85000000001</v>
      </c>
    </row>
    <row r="644">
      <c r="A644" t="inlineStr">
        <is>
          <t>Seremban</t>
        </is>
      </c>
      <c r="B644" t="inlineStr">
        <is>
          <t>SRB-ENG</t>
        </is>
      </c>
      <c r="C644" t="inlineStr">
        <is>
          <t>Engineering</t>
        </is>
      </c>
      <c r="D644" s="7" t="n">
        <v>46082</v>
      </c>
      <c r="E644" s="6" t="n">
        <v>437948.41</v>
      </c>
      <c r="F644" s="6" t="n">
        <v>487980.21</v>
      </c>
      <c r="G644" s="6">
        <f>E644-F644</f>
        <v/>
      </c>
      <c r="H644" s="8">
        <f>IFERROR((E644-F644)/E644,"")</f>
        <v/>
      </c>
      <c r="I644" s="6" t="n">
        <v>-131525.65</v>
      </c>
    </row>
    <row r="645">
      <c r="A645" t="inlineStr">
        <is>
          <t>Seremban</t>
        </is>
      </c>
      <c r="B645" t="inlineStr">
        <is>
          <t>SRB-ENG</t>
        </is>
      </c>
      <c r="C645" t="inlineStr">
        <is>
          <t>Engineering</t>
        </is>
      </c>
      <c r="D645" s="7" t="n">
        <v>46113</v>
      </c>
      <c r="E645" s="6" t="n">
        <v>424127.03</v>
      </c>
      <c r="F645" s="6" t="n">
        <v>495533.38</v>
      </c>
      <c r="G645" s="6">
        <f>E645-F645</f>
        <v/>
      </c>
      <c r="H645" s="8">
        <f>IFERROR((E645-F645)/E645,"")</f>
        <v/>
      </c>
      <c r="I645" s="6" t="n">
        <v>-202932</v>
      </c>
    </row>
    <row r="646">
      <c r="A646" t="inlineStr">
        <is>
          <t>Seremban</t>
        </is>
      </c>
      <c r="B646" t="inlineStr">
        <is>
          <t>SRB-ENG</t>
        </is>
      </c>
      <c r="C646" t="inlineStr">
        <is>
          <t>Engineering</t>
        </is>
      </c>
      <c r="D646" s="7" t="n">
        <v>46143</v>
      </c>
      <c r="E646" s="6" t="n">
        <v>414695.02</v>
      </c>
      <c r="F646" s="6" t="n">
        <v>486423.23</v>
      </c>
      <c r="G646" s="6">
        <f>E646-F646</f>
        <v/>
      </c>
      <c r="H646" s="8">
        <f>IFERROR((E646-F646)/E646,"")</f>
        <v/>
      </c>
      <c r="I646" s="6" t="n">
        <v>-274660.21</v>
      </c>
    </row>
    <row r="647">
      <c r="A647" t="inlineStr">
        <is>
          <t>Seremban</t>
        </is>
      </c>
      <c r="B647" t="inlineStr">
        <is>
          <t>SRB-ENG</t>
        </is>
      </c>
      <c r="C647" t="inlineStr">
        <is>
          <t>Engineering</t>
        </is>
      </c>
      <c r="D647" s="7" t="n">
        <v>46174</v>
      </c>
      <c r="E647" s="6" t="n">
        <v>413593.46</v>
      </c>
      <c r="F647" s="6" t="n">
        <v>488915.65</v>
      </c>
      <c r="G647" s="6">
        <f>E647-F647</f>
        <v/>
      </c>
      <c r="H647" s="8">
        <f>IFERROR((E647-F647)/E647,"")</f>
        <v/>
      </c>
      <c r="I647" s="6" t="n">
        <v>-349982.4</v>
      </c>
    </row>
    <row r="648">
      <c r="A648" t="inlineStr">
        <is>
          <t>Seremban</t>
        </is>
      </c>
      <c r="B648" t="inlineStr">
        <is>
          <t>SRB-ENG</t>
        </is>
      </c>
      <c r="C648" t="inlineStr">
        <is>
          <t>Engineering</t>
        </is>
      </c>
      <c r="D648" s="7" t="n">
        <v>46204</v>
      </c>
      <c r="E648" s="6" t="n">
        <v>422496.88</v>
      </c>
      <c r="F648" s="6" t="n">
        <v>476518.46</v>
      </c>
      <c r="G648" s="6">
        <f>E648-F648</f>
        <v/>
      </c>
      <c r="H648" s="8">
        <f>IFERROR((E648-F648)/E648,"")</f>
        <v/>
      </c>
      <c r="I648" s="6" t="n">
        <v>-404003.98</v>
      </c>
    </row>
    <row r="649">
      <c r="A649" t="inlineStr">
        <is>
          <t>Seremban</t>
        </is>
      </c>
      <c r="B649" t="inlineStr">
        <is>
          <t>SRB-ENG</t>
        </is>
      </c>
      <c r="C649" t="inlineStr">
        <is>
          <t>Engineering</t>
        </is>
      </c>
      <c r="D649" s="7" t="n">
        <v>46235</v>
      </c>
      <c r="E649" s="6" t="n">
        <v>433726.64</v>
      </c>
      <c r="F649" s="6" t="n">
        <v>478587.24</v>
      </c>
      <c r="G649" s="6">
        <f>E649-F649</f>
        <v/>
      </c>
      <c r="H649" s="8">
        <f>IFERROR((E649-F649)/E649,"")</f>
        <v/>
      </c>
      <c r="I649" s="6" t="n">
        <v>-448864.58</v>
      </c>
    </row>
    <row r="650">
      <c r="A650" t="inlineStr">
        <is>
          <t>Brno</t>
        </is>
      </c>
      <c r="B650" t="inlineStr">
        <is>
          <t>BRN-FAB</t>
        </is>
      </c>
      <c r="C650" t="inlineStr">
        <is>
          <t>Fab Operations</t>
        </is>
      </c>
      <c r="D650" s="7" t="n">
        <v>45170</v>
      </c>
      <c r="E650" s="6" t="n">
        <v>1271466.95</v>
      </c>
      <c r="F650" s="6" t="n">
        <v>1292714.93</v>
      </c>
      <c r="G650" s="6">
        <f>E650-F650</f>
        <v/>
      </c>
      <c r="H650" s="8">
        <f>IFERROR((E650-F650)/E650,"")</f>
        <v/>
      </c>
      <c r="I650" s="6" t="n">
        <v>-21247.98</v>
      </c>
    </row>
    <row r="651">
      <c r="A651" t="inlineStr">
        <is>
          <t>Brno</t>
        </is>
      </c>
      <c r="B651" t="inlineStr">
        <is>
          <t>BRN-FAB</t>
        </is>
      </c>
      <c r="C651" t="inlineStr">
        <is>
          <t>Fab Operations</t>
        </is>
      </c>
      <c r="D651" s="7" t="n">
        <v>45200</v>
      </c>
      <c r="E651" s="6" t="n">
        <v>1293932.24</v>
      </c>
      <c r="F651" s="6" t="n">
        <v>1242509.71</v>
      </c>
      <c r="G651" s="6">
        <f>E651-F651</f>
        <v/>
      </c>
      <c r="H651" s="8">
        <f>IFERROR((E651-F651)/E651,"")</f>
        <v/>
      </c>
      <c r="I651" s="6" t="n">
        <v>30174.55</v>
      </c>
    </row>
    <row r="652">
      <c r="A652" t="inlineStr">
        <is>
          <t>Brno</t>
        </is>
      </c>
      <c r="B652" t="inlineStr">
        <is>
          <t>BRN-FAB</t>
        </is>
      </c>
      <c r="C652" t="inlineStr">
        <is>
          <t>Fab Operations</t>
        </is>
      </c>
      <c r="D652" s="7" t="n">
        <v>45231</v>
      </c>
      <c r="E652" s="6" t="n">
        <v>1295897.72</v>
      </c>
      <c r="F652" s="6" t="n">
        <v>1304322.43</v>
      </c>
      <c r="G652" s="6">
        <f>E652-F652</f>
        <v/>
      </c>
      <c r="H652" s="8">
        <f>IFERROR((E652-F652)/E652,"")</f>
        <v/>
      </c>
      <c r="I652" s="6" t="n">
        <v>21749.84</v>
      </c>
    </row>
    <row r="653">
      <c r="A653" t="inlineStr">
        <is>
          <t>Brno</t>
        </is>
      </c>
      <c r="B653" t="inlineStr">
        <is>
          <t>BRN-FAB</t>
        </is>
      </c>
      <c r="C653" t="inlineStr">
        <is>
          <t>Fab Operations</t>
        </is>
      </c>
      <c r="D653" s="7" t="n">
        <v>45261</v>
      </c>
      <c r="E653" s="6" t="n">
        <v>1272254.57</v>
      </c>
      <c r="F653" s="6" t="n">
        <v>1230118.71</v>
      </c>
      <c r="G653" s="6">
        <f>E653-F653</f>
        <v/>
      </c>
      <c r="H653" s="8">
        <f>IFERROR((E653-F653)/E653,"")</f>
        <v/>
      </c>
      <c r="I653" s="6" t="n">
        <v>63885.7</v>
      </c>
    </row>
    <row r="654">
      <c r="A654" t="inlineStr">
        <is>
          <t>Brno</t>
        </is>
      </c>
      <c r="B654" t="inlineStr">
        <is>
          <t>BRN-FAB</t>
        </is>
      </c>
      <c r="C654" t="inlineStr">
        <is>
          <t>Fab Operations</t>
        </is>
      </c>
      <c r="D654" s="7" t="n">
        <v>45292</v>
      </c>
      <c r="E654" s="6" t="n">
        <v>1224993.32</v>
      </c>
      <c r="F654" s="6" t="n">
        <v>1187336.23</v>
      </c>
      <c r="G654" s="6">
        <f>E654-F654</f>
        <v/>
      </c>
      <c r="H654" s="8">
        <f>IFERROR((E654-F654)/E654,"")</f>
        <v/>
      </c>
      <c r="I654" s="6" t="n">
        <v>37657.09</v>
      </c>
    </row>
    <row r="655">
      <c r="A655" t="inlineStr">
        <is>
          <t>Brno</t>
        </is>
      </c>
      <c r="B655" t="inlineStr">
        <is>
          <t>BRN-FAB</t>
        </is>
      </c>
      <c r="C655" t="inlineStr">
        <is>
          <t>Fab Operations</t>
        </is>
      </c>
      <c r="D655" s="7" t="n">
        <v>45323</v>
      </c>
      <c r="E655" s="6" t="n">
        <v>1212254.22</v>
      </c>
      <c r="F655" s="6" t="n">
        <v>1167831.08</v>
      </c>
      <c r="G655" s="6">
        <f>E655-F655</f>
        <v/>
      </c>
      <c r="H655" s="8">
        <f>IFERROR((E655-F655)/E655,"")</f>
        <v/>
      </c>
      <c r="I655" s="6" t="n">
        <v>82080.23</v>
      </c>
    </row>
    <row r="656">
      <c r="A656" t="inlineStr">
        <is>
          <t>Brno</t>
        </is>
      </c>
      <c r="B656" t="inlineStr">
        <is>
          <t>BRN-FAB</t>
        </is>
      </c>
      <c r="C656" t="inlineStr">
        <is>
          <t>Fab Operations</t>
        </is>
      </c>
      <c r="D656" s="7" t="n">
        <v>45352</v>
      </c>
      <c r="E656" s="6" t="n">
        <v>1181355.37</v>
      </c>
      <c r="F656" s="6" t="n">
        <v>1238496.25</v>
      </c>
      <c r="G656" s="6">
        <f>E656-F656</f>
        <v/>
      </c>
      <c r="H656" s="8">
        <f>IFERROR((E656-F656)/E656,"")</f>
        <v/>
      </c>
      <c r="I656" s="6" t="n">
        <v>24939.35</v>
      </c>
    </row>
    <row r="657">
      <c r="A657" t="inlineStr">
        <is>
          <t>Brno</t>
        </is>
      </c>
      <c r="B657" t="inlineStr">
        <is>
          <t>BRN-FAB</t>
        </is>
      </c>
      <c r="C657" t="inlineStr">
        <is>
          <t>Fab Operations</t>
        </is>
      </c>
      <c r="D657" s="7" t="n">
        <v>45383</v>
      </c>
      <c r="E657" s="6" t="n">
        <v>1185498.8</v>
      </c>
      <c r="F657" s="6" t="n">
        <v>1139920.72</v>
      </c>
      <c r="G657" s="6">
        <f>E657-F657</f>
        <v/>
      </c>
      <c r="H657" s="8">
        <f>IFERROR((E657-F657)/E657,"")</f>
        <v/>
      </c>
      <c r="I657" s="6" t="n">
        <v>70517.42999999999</v>
      </c>
    </row>
    <row r="658">
      <c r="A658" t="inlineStr">
        <is>
          <t>Brno</t>
        </is>
      </c>
      <c r="B658" t="inlineStr">
        <is>
          <t>BRN-FAB</t>
        </is>
      </c>
      <c r="C658" t="inlineStr">
        <is>
          <t>Fab Operations</t>
        </is>
      </c>
      <c r="D658" s="7" t="n">
        <v>45413</v>
      </c>
      <c r="E658" s="6" t="n">
        <v>1141717.97</v>
      </c>
      <c r="F658" s="6" t="n">
        <v>1140597.84</v>
      </c>
      <c r="G658" s="6">
        <f>E658-F658</f>
        <v/>
      </c>
      <c r="H658" s="8">
        <f>IFERROR((E658-F658)/E658,"")</f>
        <v/>
      </c>
      <c r="I658" s="6" t="n">
        <v>71637.56</v>
      </c>
    </row>
    <row r="659">
      <c r="A659" t="inlineStr">
        <is>
          <t>Brno</t>
        </is>
      </c>
      <c r="B659" t="inlineStr">
        <is>
          <t>BRN-FAB</t>
        </is>
      </c>
      <c r="C659" t="inlineStr">
        <is>
          <t>Fab Operations</t>
        </is>
      </c>
      <c r="D659" s="7" t="n">
        <v>45444</v>
      </c>
      <c r="E659" s="6" t="n">
        <v>1161983.84</v>
      </c>
      <c r="F659" s="6" t="n">
        <v>1179852.82</v>
      </c>
      <c r="G659" s="6">
        <f>E659-F659</f>
        <v/>
      </c>
      <c r="H659" s="8">
        <f>IFERROR((E659-F659)/E659,"")</f>
        <v/>
      </c>
      <c r="I659" s="6" t="n">
        <v>53768.58</v>
      </c>
    </row>
    <row r="660">
      <c r="A660" t="inlineStr">
        <is>
          <t>Brno</t>
        </is>
      </c>
      <c r="B660" t="inlineStr">
        <is>
          <t>BRN-FAB</t>
        </is>
      </c>
      <c r="C660" t="inlineStr">
        <is>
          <t>Fab Operations</t>
        </is>
      </c>
      <c r="D660" s="7" t="n">
        <v>45474</v>
      </c>
      <c r="E660" s="6" t="n">
        <v>1174621.93</v>
      </c>
      <c r="F660" s="6" t="n">
        <v>1218578.46</v>
      </c>
      <c r="G660" s="6">
        <f>E660-F660</f>
        <v/>
      </c>
      <c r="H660" s="8">
        <f>IFERROR((E660-F660)/E660,"")</f>
        <v/>
      </c>
      <c r="I660" s="6" t="n">
        <v>9812.049999999999</v>
      </c>
    </row>
    <row r="661">
      <c r="A661" t="inlineStr">
        <is>
          <t>Brno</t>
        </is>
      </c>
      <c r="B661" t="inlineStr">
        <is>
          <t>BRN-FAB</t>
        </is>
      </c>
      <c r="C661" t="inlineStr">
        <is>
          <t>Fab Operations</t>
        </is>
      </c>
      <c r="D661" s="7" t="n">
        <v>45505</v>
      </c>
      <c r="E661" s="6" t="n">
        <v>1159948.98</v>
      </c>
      <c r="F661" s="6" t="n">
        <v>1115251.2</v>
      </c>
      <c r="G661" s="6">
        <f>E661-F661</f>
        <v/>
      </c>
      <c r="H661" s="8">
        <f>IFERROR((E661-F661)/E661,"")</f>
        <v/>
      </c>
      <c r="I661" s="6" t="n">
        <v>54509.83</v>
      </c>
    </row>
    <row r="662">
      <c r="A662" t="inlineStr">
        <is>
          <t>Brno</t>
        </is>
      </c>
      <c r="B662" t="inlineStr">
        <is>
          <t>BRN-FAB</t>
        </is>
      </c>
      <c r="C662" t="inlineStr">
        <is>
          <t>Fab Operations</t>
        </is>
      </c>
      <c r="D662" s="7" t="n">
        <v>45536</v>
      </c>
      <c r="E662" s="6" t="n">
        <v>1177685.86</v>
      </c>
      <c r="F662" s="6" t="n">
        <v>1191753.48</v>
      </c>
      <c r="G662" s="6">
        <f>E662-F662</f>
        <v/>
      </c>
      <c r="H662" s="8">
        <f>IFERROR((E662-F662)/E662,"")</f>
        <v/>
      </c>
      <c r="I662" s="6" t="n">
        <v>40442.21</v>
      </c>
    </row>
    <row r="663">
      <c r="A663" t="inlineStr">
        <is>
          <t>Brno</t>
        </is>
      </c>
      <c r="B663" t="inlineStr">
        <is>
          <t>BRN-FAB</t>
        </is>
      </c>
      <c r="C663" t="inlineStr">
        <is>
          <t>Fab Operations</t>
        </is>
      </c>
      <c r="D663" s="7" t="n">
        <v>45566</v>
      </c>
      <c r="E663" s="6" t="n">
        <v>1193662.86</v>
      </c>
      <c r="F663" s="6" t="n">
        <v>1219129.4</v>
      </c>
      <c r="G663" s="6">
        <f>E663-F663</f>
        <v/>
      </c>
      <c r="H663" s="8">
        <f>IFERROR((E663-F663)/E663,"")</f>
        <v/>
      </c>
      <c r="I663" s="6" t="n">
        <v>14975.67</v>
      </c>
    </row>
    <row r="664">
      <c r="A664" t="inlineStr">
        <is>
          <t>Brno</t>
        </is>
      </c>
      <c r="B664" t="inlineStr">
        <is>
          <t>BRN-FAB</t>
        </is>
      </c>
      <c r="C664" t="inlineStr">
        <is>
          <t>Fab Operations</t>
        </is>
      </c>
      <c r="D664" s="7" t="n">
        <v>45597</v>
      </c>
      <c r="E664" s="6" t="n">
        <v>1161903.78</v>
      </c>
      <c r="F664" s="6" t="n">
        <v>1195016.17</v>
      </c>
      <c r="G664" s="6">
        <f>E664-F664</f>
        <v/>
      </c>
      <c r="H664" s="8">
        <f>IFERROR((E664-F664)/E664,"")</f>
        <v/>
      </c>
      <c r="I664" s="6" t="n">
        <v>-18136.72</v>
      </c>
    </row>
    <row r="665">
      <c r="A665" t="inlineStr">
        <is>
          <t>Brno</t>
        </is>
      </c>
      <c r="B665" t="inlineStr">
        <is>
          <t>BRN-FAB</t>
        </is>
      </c>
      <c r="C665" t="inlineStr">
        <is>
          <t>Fab Operations</t>
        </is>
      </c>
      <c r="D665" s="7" t="n">
        <v>45627</v>
      </c>
      <c r="E665" s="6" t="n">
        <v>1173582.04</v>
      </c>
      <c r="F665" s="6" t="n">
        <v>1152936.7</v>
      </c>
      <c r="G665" s="6">
        <f>E665-F665</f>
        <v/>
      </c>
      <c r="H665" s="8">
        <f>IFERROR((E665-F665)/E665,"")</f>
        <v/>
      </c>
      <c r="I665" s="6" t="n">
        <v>2508.62</v>
      </c>
    </row>
    <row r="666">
      <c r="A666" t="inlineStr">
        <is>
          <t>Brno</t>
        </is>
      </c>
      <c r="B666" t="inlineStr">
        <is>
          <t>BRN-FAB</t>
        </is>
      </c>
      <c r="C666" t="inlineStr">
        <is>
          <t>Fab Operations</t>
        </is>
      </c>
      <c r="D666" s="7" t="n">
        <v>45658</v>
      </c>
      <c r="E666" s="6" t="n">
        <v>1127376.26</v>
      </c>
      <c r="F666" s="6" t="n">
        <v>1082318</v>
      </c>
      <c r="G666" s="6">
        <f>E666-F666</f>
        <v/>
      </c>
      <c r="H666" s="8">
        <f>IFERROR((E666-F666)/E666,"")</f>
        <v/>
      </c>
      <c r="I666" s="6" t="n">
        <v>45058.26</v>
      </c>
    </row>
    <row r="667">
      <c r="A667" t="inlineStr">
        <is>
          <t>Brno</t>
        </is>
      </c>
      <c r="B667" t="inlineStr">
        <is>
          <t>BRN-FAB</t>
        </is>
      </c>
      <c r="C667" t="inlineStr">
        <is>
          <t>Fab Operations</t>
        </is>
      </c>
      <c r="D667" s="7" t="n">
        <v>45689</v>
      </c>
      <c r="E667" s="6" t="n">
        <v>1128233.08</v>
      </c>
      <c r="F667" s="6" t="n">
        <v>1158840.91</v>
      </c>
      <c r="G667" s="6">
        <f>E667-F667</f>
        <v/>
      </c>
      <c r="H667" s="8">
        <f>IFERROR((E667-F667)/E667,"")</f>
        <v/>
      </c>
      <c r="I667" s="6" t="n">
        <v>14450.43</v>
      </c>
    </row>
    <row r="668">
      <c r="A668" t="inlineStr">
        <is>
          <t>Brno</t>
        </is>
      </c>
      <c r="B668" t="inlineStr">
        <is>
          <t>BRN-FAB</t>
        </is>
      </c>
      <c r="C668" t="inlineStr">
        <is>
          <t>Fab Operations</t>
        </is>
      </c>
      <c r="D668" s="7" t="n">
        <v>45717</v>
      </c>
      <c r="E668" s="6" t="n">
        <v>1098216.14</v>
      </c>
      <c r="F668" s="6" t="n">
        <v>1156227.29</v>
      </c>
      <c r="G668" s="6">
        <f>E668-F668</f>
        <v/>
      </c>
      <c r="H668" s="8">
        <f>IFERROR((E668-F668)/E668,"")</f>
        <v/>
      </c>
      <c r="I668" s="6" t="n">
        <v>-43560.72</v>
      </c>
    </row>
    <row r="669">
      <c r="A669" t="inlineStr">
        <is>
          <t>Brno</t>
        </is>
      </c>
      <c r="B669" t="inlineStr">
        <is>
          <t>BRN-FAB</t>
        </is>
      </c>
      <c r="C669" t="inlineStr">
        <is>
          <t>Fab Operations</t>
        </is>
      </c>
      <c r="D669" s="7" t="n">
        <v>45748</v>
      </c>
      <c r="E669" s="6" t="n">
        <v>1071630.65</v>
      </c>
      <c r="F669" s="6" t="n">
        <v>1085274.37</v>
      </c>
      <c r="G669" s="6">
        <f>E669-F669</f>
        <v/>
      </c>
      <c r="H669" s="8">
        <f>IFERROR((E669-F669)/E669,"")</f>
        <v/>
      </c>
      <c r="I669" s="6" t="n">
        <v>-57204.44</v>
      </c>
    </row>
    <row r="670">
      <c r="A670" t="inlineStr">
        <is>
          <t>Brno</t>
        </is>
      </c>
      <c r="B670" t="inlineStr">
        <is>
          <t>BRN-FAB</t>
        </is>
      </c>
      <c r="C670" t="inlineStr">
        <is>
          <t>Fab Operations</t>
        </is>
      </c>
      <c r="D670" s="7" t="n">
        <v>45778</v>
      </c>
      <c r="E670" s="6" t="n">
        <v>1056683.7</v>
      </c>
      <c r="F670" s="6" t="n">
        <v>1057396.48</v>
      </c>
      <c r="G670" s="6">
        <f>E670-F670</f>
        <v/>
      </c>
      <c r="H670" s="8">
        <f>IFERROR((E670-F670)/E670,"")</f>
        <v/>
      </c>
      <c r="I670" s="6" t="n">
        <v>-57917.22</v>
      </c>
    </row>
    <row r="671">
      <c r="A671" t="inlineStr">
        <is>
          <t>Brno</t>
        </is>
      </c>
      <c r="B671" t="inlineStr">
        <is>
          <t>BRN-FAB</t>
        </is>
      </c>
      <c r="C671" t="inlineStr">
        <is>
          <t>Fab Operations</t>
        </is>
      </c>
      <c r="D671" s="7" t="n">
        <v>45809</v>
      </c>
      <c r="E671" s="6" t="n">
        <v>1048838.63</v>
      </c>
      <c r="F671" s="6" t="n">
        <v>986130.85</v>
      </c>
      <c r="G671" s="6">
        <f>E671-F671</f>
        <v/>
      </c>
      <c r="H671" s="8">
        <f>IFERROR((E671-F671)/E671,"")</f>
        <v/>
      </c>
      <c r="I671" s="6" t="n">
        <v>4790.56</v>
      </c>
    </row>
    <row r="672">
      <c r="A672" t="inlineStr">
        <is>
          <t>Brno</t>
        </is>
      </c>
      <c r="B672" t="inlineStr">
        <is>
          <t>BRN-FAB</t>
        </is>
      </c>
      <c r="C672" t="inlineStr">
        <is>
          <t>Fab Operations</t>
        </is>
      </c>
      <c r="D672" s="7" t="n">
        <v>45839</v>
      </c>
      <c r="E672" s="6" t="n">
        <v>1044285.24</v>
      </c>
      <c r="F672" s="6" t="n">
        <v>994847.7</v>
      </c>
      <c r="G672" s="6">
        <f>E672-F672</f>
        <v/>
      </c>
      <c r="H672" s="8">
        <f>IFERROR((E672-F672)/E672,"")</f>
        <v/>
      </c>
      <c r="I672" s="6" t="n">
        <v>54228.1</v>
      </c>
    </row>
    <row r="673">
      <c r="A673" t="inlineStr">
        <is>
          <t>Brno</t>
        </is>
      </c>
      <c r="B673" t="inlineStr">
        <is>
          <t>BRN-FAB</t>
        </is>
      </c>
      <c r="C673" t="inlineStr">
        <is>
          <t>Fab Operations</t>
        </is>
      </c>
      <c r="D673" s="7" t="n">
        <v>45870</v>
      </c>
      <c r="E673" s="6" t="n">
        <v>1052415.12</v>
      </c>
      <c r="F673" s="6" t="n">
        <v>976498.8199999999</v>
      </c>
      <c r="G673" s="6">
        <f>E673-F673</f>
        <v/>
      </c>
      <c r="H673" s="8">
        <f>IFERROR((E673-F673)/E673,"")</f>
        <v/>
      </c>
      <c r="I673" s="6" t="n">
        <v>130144.4</v>
      </c>
    </row>
    <row r="674">
      <c r="A674" t="inlineStr">
        <is>
          <t>Brno</t>
        </is>
      </c>
      <c r="B674" t="inlineStr">
        <is>
          <t>BRN-FAB</t>
        </is>
      </c>
      <c r="C674" t="inlineStr">
        <is>
          <t>Fab Operations</t>
        </is>
      </c>
      <c r="D674" s="7" t="n">
        <v>45901</v>
      </c>
      <c r="E674" s="6" t="n">
        <v>1085999.98</v>
      </c>
      <c r="F674" s="6" t="n">
        <v>1015516.75</v>
      </c>
      <c r="G674" s="6">
        <f>E674-F674</f>
        <v/>
      </c>
      <c r="H674" s="8">
        <f>IFERROR((E674-F674)/E674,"")</f>
        <v/>
      </c>
      <c r="I674" s="6" t="n">
        <v>200627.63</v>
      </c>
    </row>
    <row r="675">
      <c r="A675" t="inlineStr">
        <is>
          <t>Brno</t>
        </is>
      </c>
      <c r="B675" t="inlineStr">
        <is>
          <t>BRN-FAB</t>
        </is>
      </c>
      <c r="C675" t="inlineStr">
        <is>
          <t>Fab Operations</t>
        </is>
      </c>
      <c r="D675" s="7" t="n">
        <v>45931</v>
      </c>
      <c r="E675" s="6" t="n">
        <v>1088325.6</v>
      </c>
      <c r="F675" s="6" t="n">
        <v>1085330.74</v>
      </c>
      <c r="G675" s="6">
        <f>E675-F675</f>
        <v/>
      </c>
      <c r="H675" s="8">
        <f>IFERROR((E675-F675)/E675,"")</f>
        <v/>
      </c>
      <c r="I675" s="6" t="n">
        <v>203622.49</v>
      </c>
    </row>
    <row r="676">
      <c r="A676" t="inlineStr">
        <is>
          <t>Brno</t>
        </is>
      </c>
      <c r="B676" t="inlineStr">
        <is>
          <t>BRN-FAB</t>
        </is>
      </c>
      <c r="C676" t="inlineStr">
        <is>
          <t>Fab Operations</t>
        </is>
      </c>
      <c r="D676" s="7" t="n">
        <v>45962</v>
      </c>
      <c r="E676" s="6" t="n">
        <v>1085361.95</v>
      </c>
      <c r="F676" s="6" t="n">
        <v>1029008.22</v>
      </c>
      <c r="G676" s="6">
        <f>E676-F676</f>
        <v/>
      </c>
      <c r="H676" s="8">
        <f>IFERROR((E676-F676)/E676,"")</f>
        <v/>
      </c>
      <c r="I676" s="6" t="n">
        <v>259976.22</v>
      </c>
    </row>
    <row r="677">
      <c r="A677" t="inlineStr">
        <is>
          <t>Brno</t>
        </is>
      </c>
      <c r="B677" t="inlineStr">
        <is>
          <t>BRN-FAB</t>
        </is>
      </c>
      <c r="C677" t="inlineStr">
        <is>
          <t>Fab Operations</t>
        </is>
      </c>
      <c r="D677" s="7" t="n">
        <v>45992</v>
      </c>
      <c r="E677" s="6" t="n">
        <v>1052411.08</v>
      </c>
      <c r="F677" s="6" t="n">
        <v>983777.5600000001</v>
      </c>
      <c r="G677" s="6">
        <f>E677-F677</f>
        <v/>
      </c>
      <c r="H677" s="8">
        <f>IFERROR((E677-F677)/E677,"")</f>
        <v/>
      </c>
      <c r="I677" s="6" t="n">
        <v>328609.74</v>
      </c>
    </row>
    <row r="678">
      <c r="A678" t="inlineStr">
        <is>
          <t>Brno</t>
        </is>
      </c>
      <c r="B678" t="inlineStr">
        <is>
          <t>BRN-FAB</t>
        </is>
      </c>
      <c r="C678" t="inlineStr">
        <is>
          <t>Fab Operations</t>
        </is>
      </c>
      <c r="D678" s="7" t="n">
        <v>46023</v>
      </c>
      <c r="E678" s="6" t="n">
        <v>1048676.21</v>
      </c>
      <c r="F678" s="6" t="n">
        <v>1065816.83</v>
      </c>
      <c r="G678" s="6">
        <f>E678-F678</f>
        <v/>
      </c>
      <c r="H678" s="8">
        <f>IFERROR((E678-F678)/E678,"")</f>
        <v/>
      </c>
      <c r="I678" s="6" t="n">
        <v>-17140.62</v>
      </c>
    </row>
    <row r="679">
      <c r="A679" t="inlineStr">
        <is>
          <t>Brno</t>
        </is>
      </c>
      <c r="B679" t="inlineStr">
        <is>
          <t>BRN-FAB</t>
        </is>
      </c>
      <c r="C679" t="inlineStr">
        <is>
          <t>Fab Operations</t>
        </is>
      </c>
      <c r="D679" s="7" t="n">
        <v>46054</v>
      </c>
      <c r="E679" s="6" t="n">
        <v>1033194.36</v>
      </c>
      <c r="F679" s="6" t="n">
        <v>995427.89</v>
      </c>
      <c r="G679" s="6">
        <f>E679-F679</f>
        <v/>
      </c>
      <c r="H679" s="8">
        <f>IFERROR((E679-F679)/E679,"")</f>
        <v/>
      </c>
      <c r="I679" s="6" t="n">
        <v>20625.85</v>
      </c>
    </row>
    <row r="680">
      <c r="A680" t="inlineStr">
        <is>
          <t>Brno</t>
        </is>
      </c>
      <c r="B680" t="inlineStr">
        <is>
          <t>BRN-FAB</t>
        </is>
      </c>
      <c r="C680" t="inlineStr">
        <is>
          <t>Fab Operations</t>
        </is>
      </c>
      <c r="D680" s="7" t="n">
        <v>46082</v>
      </c>
      <c r="E680" s="6" t="n">
        <v>1013581.91</v>
      </c>
      <c r="F680" s="6" t="n">
        <v>983314.34</v>
      </c>
      <c r="G680" s="6">
        <f>E680-F680</f>
        <v/>
      </c>
      <c r="H680" s="8">
        <f>IFERROR((E680-F680)/E680,"")</f>
        <v/>
      </c>
      <c r="I680" s="6" t="n">
        <v>50893.42</v>
      </c>
    </row>
    <row r="681">
      <c r="A681" t="inlineStr">
        <is>
          <t>Brno</t>
        </is>
      </c>
      <c r="B681" t="inlineStr">
        <is>
          <t>BRN-FAB</t>
        </is>
      </c>
      <c r="C681" t="inlineStr">
        <is>
          <t>Fab Operations</t>
        </is>
      </c>
      <c r="D681" s="7" t="n">
        <v>46113</v>
      </c>
      <c r="E681" s="6" t="n">
        <v>978993.34</v>
      </c>
      <c r="F681" s="6" t="n">
        <v>985075.24</v>
      </c>
      <c r="G681" s="6">
        <f>E681-F681</f>
        <v/>
      </c>
      <c r="H681" s="8">
        <f>IFERROR((E681-F681)/E681,"")</f>
        <v/>
      </c>
      <c r="I681" s="6" t="n">
        <v>44811.52</v>
      </c>
    </row>
    <row r="682">
      <c r="A682" t="inlineStr">
        <is>
          <t>Brno</t>
        </is>
      </c>
      <c r="B682" t="inlineStr">
        <is>
          <t>BRN-FAB</t>
        </is>
      </c>
      <c r="C682" t="inlineStr">
        <is>
          <t>Fab Operations</t>
        </is>
      </c>
      <c r="D682" s="7" t="n">
        <v>46143</v>
      </c>
      <c r="E682" s="6" t="n">
        <v>967396.5699999999</v>
      </c>
      <c r="F682" s="6" t="n">
        <v>903493.67</v>
      </c>
      <c r="G682" s="6">
        <f>E682-F682</f>
        <v/>
      </c>
      <c r="H682" s="8">
        <f>IFERROR((E682-F682)/E682,"")</f>
        <v/>
      </c>
      <c r="I682" s="6" t="n">
        <v>108714.42</v>
      </c>
    </row>
    <row r="683">
      <c r="A683" t="inlineStr">
        <is>
          <t>Brno</t>
        </is>
      </c>
      <c r="B683" t="inlineStr">
        <is>
          <t>BRN-FAB</t>
        </is>
      </c>
      <c r="C683" t="inlineStr">
        <is>
          <t>Fab Operations</t>
        </is>
      </c>
      <c r="D683" s="7" t="n">
        <v>46174</v>
      </c>
      <c r="E683" s="6" t="n">
        <v>947458.36</v>
      </c>
      <c r="F683" s="6" t="n">
        <v>913253.89</v>
      </c>
      <c r="G683" s="6">
        <f>E683-F683</f>
        <v/>
      </c>
      <c r="H683" s="8">
        <f>IFERROR((E683-F683)/E683,"")</f>
        <v/>
      </c>
      <c r="I683" s="6" t="n">
        <v>142918.89</v>
      </c>
    </row>
    <row r="684">
      <c r="A684" t="inlineStr">
        <is>
          <t>Brno</t>
        </is>
      </c>
      <c r="B684" t="inlineStr">
        <is>
          <t>BRN-FAB</t>
        </is>
      </c>
      <c r="C684" t="inlineStr">
        <is>
          <t>Fab Operations</t>
        </is>
      </c>
      <c r="D684" s="7" t="n">
        <v>46204</v>
      </c>
      <c r="E684" s="6" t="n">
        <v>965266.77</v>
      </c>
      <c r="F684" s="6" t="n">
        <v>967593.9399999999</v>
      </c>
      <c r="G684" s="6">
        <f>E684-F684</f>
        <v/>
      </c>
      <c r="H684" s="8">
        <f>IFERROR((E684-F684)/E684,"")</f>
        <v/>
      </c>
      <c r="I684" s="6" t="n">
        <v>140591.72</v>
      </c>
    </row>
    <row r="685">
      <c r="A685" t="inlineStr">
        <is>
          <t>Brno</t>
        </is>
      </c>
      <c r="B685" t="inlineStr">
        <is>
          <t>BRN-FAB</t>
        </is>
      </c>
      <c r="C685" t="inlineStr">
        <is>
          <t>Fab Operations</t>
        </is>
      </c>
      <c r="D685" s="7" t="n">
        <v>46235</v>
      </c>
      <c r="E685" s="6" t="n">
        <v>993025.51</v>
      </c>
      <c r="F685" s="6" t="n">
        <v>954648.62</v>
      </c>
      <c r="G685" s="6">
        <f>E685-F685</f>
        <v/>
      </c>
      <c r="H685" s="8">
        <f>IFERROR((E685-F685)/E685,"")</f>
        <v/>
      </c>
      <c r="I685" s="6" t="n">
        <v>178968.61</v>
      </c>
    </row>
    <row r="686">
      <c r="A686" t="inlineStr">
        <is>
          <t>Brno</t>
        </is>
      </c>
      <c r="B686" t="inlineStr">
        <is>
          <t>BRN-TNA</t>
        </is>
      </c>
      <c r="C686" t="inlineStr">
        <is>
          <t>Test &amp; Assembly</t>
        </is>
      </c>
      <c r="D686" s="7" t="n">
        <v>45170</v>
      </c>
      <c r="E686" s="6" t="n">
        <v>591098.45</v>
      </c>
      <c r="F686" s="6" t="n">
        <v>663587.25</v>
      </c>
      <c r="G686" s="6">
        <f>E686-F686</f>
        <v/>
      </c>
      <c r="H686" s="8">
        <f>IFERROR((E686-F686)/E686,"")</f>
        <v/>
      </c>
      <c r="I686" s="6" t="n">
        <v>-72488.8</v>
      </c>
    </row>
    <row r="687">
      <c r="A687" t="inlineStr">
        <is>
          <t>Brno</t>
        </is>
      </c>
      <c r="B687" t="inlineStr">
        <is>
          <t>BRN-TNA</t>
        </is>
      </c>
      <c r="C687" t="inlineStr">
        <is>
          <t>Test &amp; Assembly</t>
        </is>
      </c>
      <c r="D687" s="7" t="n">
        <v>45200</v>
      </c>
      <c r="E687" s="6" t="n">
        <v>582483.54</v>
      </c>
      <c r="F687" s="6" t="n">
        <v>675456.61</v>
      </c>
      <c r="G687" s="6">
        <f>E687-F687</f>
        <v/>
      </c>
      <c r="H687" s="8">
        <f>IFERROR((E687-F687)/E687,"")</f>
        <v/>
      </c>
      <c r="I687" s="6" t="n">
        <v>-165461.87</v>
      </c>
    </row>
    <row r="688">
      <c r="A688" t="inlineStr">
        <is>
          <t>Brno</t>
        </is>
      </c>
      <c r="B688" t="inlineStr">
        <is>
          <t>BRN-TNA</t>
        </is>
      </c>
      <c r="C688" t="inlineStr">
        <is>
          <t>Test &amp; Assembly</t>
        </is>
      </c>
      <c r="D688" s="7" t="n">
        <v>45231</v>
      </c>
      <c r="E688" s="6" t="n">
        <v>597901.46</v>
      </c>
      <c r="F688" s="6" t="n">
        <v>701630.46</v>
      </c>
      <c r="G688" s="6">
        <f>E688-F688</f>
        <v/>
      </c>
      <c r="H688" s="8">
        <f>IFERROR((E688-F688)/E688,"")</f>
        <v/>
      </c>
      <c r="I688" s="6" t="n">
        <v>-269190.87</v>
      </c>
    </row>
    <row r="689">
      <c r="A689" t="inlineStr">
        <is>
          <t>Brno</t>
        </is>
      </c>
      <c r="B689" t="inlineStr">
        <is>
          <t>BRN-TNA</t>
        </is>
      </c>
      <c r="C689" t="inlineStr">
        <is>
          <t>Test &amp; Assembly</t>
        </is>
      </c>
      <c r="D689" s="7" t="n">
        <v>45261</v>
      </c>
      <c r="E689" s="6" t="n">
        <v>574896.42</v>
      </c>
      <c r="F689" s="6" t="n">
        <v>674875.01</v>
      </c>
      <c r="G689" s="6">
        <f>E689-F689</f>
        <v/>
      </c>
      <c r="H689" s="8">
        <f>IFERROR((E689-F689)/E689,"")</f>
        <v/>
      </c>
      <c r="I689" s="6" t="n">
        <v>-369169.46</v>
      </c>
    </row>
    <row r="690">
      <c r="A690" t="inlineStr">
        <is>
          <t>Brno</t>
        </is>
      </c>
      <c r="B690" t="inlineStr">
        <is>
          <t>BRN-TNA</t>
        </is>
      </c>
      <c r="C690" t="inlineStr">
        <is>
          <t>Test &amp; Assembly</t>
        </is>
      </c>
      <c r="D690" s="7" t="n">
        <v>45292</v>
      </c>
      <c r="E690" s="6" t="n">
        <v>575457.99</v>
      </c>
      <c r="F690" s="6" t="n">
        <v>673348.03</v>
      </c>
      <c r="G690" s="6">
        <f>E690-F690</f>
        <v/>
      </c>
      <c r="H690" s="8">
        <f>IFERROR((E690-F690)/E690,"")</f>
        <v/>
      </c>
      <c r="I690" s="6" t="n">
        <v>-97890.03999999999</v>
      </c>
    </row>
    <row r="691">
      <c r="A691" t="inlineStr">
        <is>
          <t>Brno</t>
        </is>
      </c>
      <c r="B691" t="inlineStr">
        <is>
          <t>BRN-TNA</t>
        </is>
      </c>
      <c r="C691" t="inlineStr">
        <is>
          <t>Test &amp; Assembly</t>
        </is>
      </c>
      <c r="D691" s="7" t="n">
        <v>45323</v>
      </c>
      <c r="E691" s="6" t="n">
        <v>567959.96</v>
      </c>
      <c r="F691" s="6" t="n">
        <v>656682.75</v>
      </c>
      <c r="G691" s="6">
        <f>E691-F691</f>
        <v/>
      </c>
      <c r="H691" s="8">
        <f>IFERROR((E691-F691)/E691,"")</f>
        <v/>
      </c>
      <c r="I691" s="6" t="n">
        <v>-186612.83</v>
      </c>
    </row>
    <row r="692">
      <c r="A692" t="inlineStr">
        <is>
          <t>Brno</t>
        </is>
      </c>
      <c r="B692" t="inlineStr">
        <is>
          <t>BRN-TNA</t>
        </is>
      </c>
      <c r="C692" t="inlineStr">
        <is>
          <t>Test &amp; Assembly</t>
        </is>
      </c>
      <c r="D692" s="7" t="n">
        <v>45352</v>
      </c>
      <c r="E692" s="6" t="n">
        <v>541006.41</v>
      </c>
      <c r="F692" s="6" t="n">
        <v>654276.26</v>
      </c>
      <c r="G692" s="6">
        <f>E692-F692</f>
        <v/>
      </c>
      <c r="H692" s="8">
        <f>IFERROR((E692-F692)/E692,"")</f>
        <v/>
      </c>
      <c r="I692" s="6" t="n">
        <v>-299882.68</v>
      </c>
    </row>
    <row r="693">
      <c r="A693" t="inlineStr">
        <is>
          <t>Brno</t>
        </is>
      </c>
      <c r="B693" t="inlineStr">
        <is>
          <t>BRN-TNA</t>
        </is>
      </c>
      <c r="C693" t="inlineStr">
        <is>
          <t>Test &amp; Assembly</t>
        </is>
      </c>
      <c r="D693" s="7" t="n">
        <v>45383</v>
      </c>
      <c r="E693" s="6" t="n">
        <v>533127.35</v>
      </c>
      <c r="F693" s="6" t="n">
        <v>646525.6800000001</v>
      </c>
      <c r="G693" s="6">
        <f>E693-F693</f>
        <v/>
      </c>
      <c r="H693" s="8">
        <f>IFERROR((E693-F693)/E693,"")</f>
        <v/>
      </c>
      <c r="I693" s="6" t="n">
        <v>-413281.01</v>
      </c>
    </row>
    <row r="694">
      <c r="A694" t="inlineStr">
        <is>
          <t>Brno</t>
        </is>
      </c>
      <c r="B694" t="inlineStr">
        <is>
          <t>BRN-TNA</t>
        </is>
      </c>
      <c r="C694" t="inlineStr">
        <is>
          <t>Test &amp; Assembly</t>
        </is>
      </c>
      <c r="D694" s="7" t="n">
        <v>45413</v>
      </c>
      <c r="E694" s="6" t="n">
        <v>526058.38</v>
      </c>
      <c r="F694" s="6" t="n">
        <v>592337.45</v>
      </c>
      <c r="G694" s="6">
        <f>E694-F694</f>
        <v/>
      </c>
      <c r="H694" s="8">
        <f>IFERROR((E694-F694)/E694,"")</f>
        <v/>
      </c>
      <c r="I694" s="6" t="n">
        <v>-479560.08</v>
      </c>
    </row>
    <row r="695">
      <c r="A695" t="inlineStr">
        <is>
          <t>Brno</t>
        </is>
      </c>
      <c r="B695" t="inlineStr">
        <is>
          <t>BRN-TNA</t>
        </is>
      </c>
      <c r="C695" t="inlineStr">
        <is>
          <t>Test &amp; Assembly</t>
        </is>
      </c>
      <c r="D695" s="7" t="n">
        <v>45444</v>
      </c>
      <c r="E695" s="6" t="n">
        <v>533106.09</v>
      </c>
      <c r="F695" s="6" t="n">
        <v>597920.67</v>
      </c>
      <c r="G695" s="6">
        <f>E695-F695</f>
        <v/>
      </c>
      <c r="H695" s="8">
        <f>IFERROR((E695-F695)/E695,"")</f>
        <v/>
      </c>
      <c r="I695" s="6" t="n">
        <v>-544374.66</v>
      </c>
    </row>
    <row r="696">
      <c r="A696" t="inlineStr">
        <is>
          <t>Brno</t>
        </is>
      </c>
      <c r="B696" t="inlineStr">
        <is>
          <t>BRN-TNA</t>
        </is>
      </c>
      <c r="C696" t="inlineStr">
        <is>
          <t>Test &amp; Assembly</t>
        </is>
      </c>
      <c r="D696" s="7" t="n">
        <v>45474</v>
      </c>
      <c r="E696" s="6" t="n">
        <v>541583.28</v>
      </c>
      <c r="F696" s="6" t="n">
        <v>617056.99</v>
      </c>
      <c r="G696" s="6">
        <f>E696-F696</f>
        <v/>
      </c>
      <c r="H696" s="8">
        <f>IFERROR((E696-F696)/E696,"")</f>
        <v/>
      </c>
      <c r="I696" s="6" t="n">
        <v>-619848.37</v>
      </c>
    </row>
    <row r="697">
      <c r="A697" t="inlineStr">
        <is>
          <t>Brno</t>
        </is>
      </c>
      <c r="B697" t="inlineStr">
        <is>
          <t>BRN-TNA</t>
        </is>
      </c>
      <c r="C697" t="inlineStr">
        <is>
          <t>Test &amp; Assembly</t>
        </is>
      </c>
      <c r="D697" s="7" t="n">
        <v>45505</v>
      </c>
      <c r="E697" s="6" t="n">
        <v>536988.12</v>
      </c>
      <c r="F697" s="6" t="n">
        <v>634118.63</v>
      </c>
      <c r="G697" s="6">
        <f>E697-F697</f>
        <v/>
      </c>
      <c r="H697" s="8">
        <f>IFERROR((E697-F697)/E697,"")</f>
        <v/>
      </c>
      <c r="I697" s="6" t="n">
        <v>-716978.88</v>
      </c>
    </row>
    <row r="698">
      <c r="A698" t="inlineStr">
        <is>
          <t>Brno</t>
        </is>
      </c>
      <c r="B698" t="inlineStr">
        <is>
          <t>BRN-TNA</t>
        </is>
      </c>
      <c r="C698" t="inlineStr">
        <is>
          <t>Test &amp; Assembly</t>
        </is>
      </c>
      <c r="D698" s="7" t="n">
        <v>45536</v>
      </c>
      <c r="E698" s="6" t="n">
        <v>540972.41</v>
      </c>
      <c r="F698" s="6" t="n">
        <v>634987.75</v>
      </c>
      <c r="G698" s="6">
        <f>E698-F698</f>
        <v/>
      </c>
      <c r="H698" s="8">
        <f>IFERROR((E698-F698)/E698,"")</f>
        <v/>
      </c>
      <c r="I698" s="6" t="n">
        <v>-810994.22</v>
      </c>
    </row>
    <row r="699">
      <c r="A699" t="inlineStr">
        <is>
          <t>Brno</t>
        </is>
      </c>
      <c r="B699" t="inlineStr">
        <is>
          <t>BRN-TNA</t>
        </is>
      </c>
      <c r="C699" t="inlineStr">
        <is>
          <t>Test &amp; Assembly</t>
        </is>
      </c>
      <c r="D699" s="7" t="n">
        <v>45566</v>
      </c>
      <c r="E699" s="6" t="n">
        <v>540997.34</v>
      </c>
      <c r="F699" s="6" t="n">
        <v>598678.4300000001</v>
      </c>
      <c r="G699" s="6">
        <f>E699-F699</f>
        <v/>
      </c>
      <c r="H699" s="8">
        <f>IFERROR((E699-F699)/E699,"")</f>
        <v/>
      </c>
      <c r="I699" s="6" t="n">
        <v>-868675.3100000001</v>
      </c>
    </row>
    <row r="700">
      <c r="A700" t="inlineStr">
        <is>
          <t>Brno</t>
        </is>
      </c>
      <c r="B700" t="inlineStr">
        <is>
          <t>BRN-TNA</t>
        </is>
      </c>
      <c r="C700" t="inlineStr">
        <is>
          <t>Test &amp; Assembly</t>
        </is>
      </c>
      <c r="D700" s="7" t="n">
        <v>45597</v>
      </c>
      <c r="E700" s="6" t="n">
        <v>543337.95</v>
      </c>
      <c r="F700" s="6" t="n">
        <v>638768.8</v>
      </c>
      <c r="G700" s="6">
        <f>E700-F700</f>
        <v/>
      </c>
      <c r="H700" s="8">
        <f>IFERROR((E700-F700)/E700,"")</f>
        <v/>
      </c>
      <c r="I700" s="6" t="n">
        <v>-964106.16</v>
      </c>
    </row>
    <row r="701">
      <c r="A701" t="inlineStr">
        <is>
          <t>Brno</t>
        </is>
      </c>
      <c r="B701" t="inlineStr">
        <is>
          <t>BRN-TNA</t>
        </is>
      </c>
      <c r="C701" t="inlineStr">
        <is>
          <t>Test &amp; Assembly</t>
        </is>
      </c>
      <c r="D701" s="7" t="n">
        <v>45627</v>
      </c>
      <c r="E701" s="6" t="n">
        <v>536846.49</v>
      </c>
      <c r="F701" s="6" t="n">
        <v>612880.64</v>
      </c>
      <c r="G701" s="6">
        <f>E701-F701</f>
        <v/>
      </c>
      <c r="H701" s="8">
        <f>IFERROR((E701-F701)/E701,"")</f>
        <v/>
      </c>
      <c r="I701" s="6" t="n">
        <v>-1040140.31</v>
      </c>
    </row>
    <row r="702">
      <c r="A702" t="inlineStr">
        <is>
          <t>Brno</t>
        </is>
      </c>
      <c r="B702" t="inlineStr">
        <is>
          <t>BRN-TNA</t>
        </is>
      </c>
      <c r="C702" t="inlineStr">
        <is>
          <t>Test &amp; Assembly</t>
        </is>
      </c>
      <c r="D702" s="7" t="n">
        <v>45658</v>
      </c>
      <c r="E702" s="6" t="n">
        <v>534410.2</v>
      </c>
      <c r="F702" s="6" t="n">
        <v>611742.52</v>
      </c>
      <c r="G702" s="6">
        <f>E702-F702</f>
        <v/>
      </c>
      <c r="H702" s="8">
        <f>IFERROR((E702-F702)/E702,"")</f>
        <v/>
      </c>
      <c r="I702" s="6" t="n">
        <v>-77332.32000000001</v>
      </c>
    </row>
    <row r="703">
      <c r="A703" t="inlineStr">
        <is>
          <t>Brno</t>
        </is>
      </c>
      <c r="B703" t="inlineStr">
        <is>
          <t>BRN-TNA</t>
        </is>
      </c>
      <c r="C703" t="inlineStr">
        <is>
          <t>Test &amp; Assembly</t>
        </is>
      </c>
      <c r="D703" s="7" t="n">
        <v>45689</v>
      </c>
      <c r="E703" s="6" t="n">
        <v>522973.48</v>
      </c>
      <c r="F703" s="6" t="n">
        <v>606577.33</v>
      </c>
      <c r="G703" s="6">
        <f>E703-F703</f>
        <v/>
      </c>
      <c r="H703" s="8">
        <f>IFERROR((E703-F703)/E703,"")</f>
        <v/>
      </c>
      <c r="I703" s="6" t="n">
        <v>-160936.17</v>
      </c>
    </row>
    <row r="704">
      <c r="A704" t="inlineStr">
        <is>
          <t>Brno</t>
        </is>
      </c>
      <c r="B704" t="inlineStr">
        <is>
          <t>BRN-TNA</t>
        </is>
      </c>
      <c r="C704" t="inlineStr">
        <is>
          <t>Test &amp; Assembly</t>
        </is>
      </c>
      <c r="D704" s="7" t="n">
        <v>45717</v>
      </c>
      <c r="E704" s="6" t="n">
        <v>502839.3</v>
      </c>
      <c r="F704" s="6" t="n">
        <v>586350.58</v>
      </c>
      <c r="G704" s="6">
        <f>E704-F704</f>
        <v/>
      </c>
      <c r="H704" s="8">
        <f>IFERROR((E704-F704)/E704,"")</f>
        <v/>
      </c>
      <c r="I704" s="6" t="n">
        <v>-244447.45</v>
      </c>
    </row>
    <row r="705">
      <c r="A705" t="inlineStr">
        <is>
          <t>Brno</t>
        </is>
      </c>
      <c r="B705" t="inlineStr">
        <is>
          <t>BRN-TNA</t>
        </is>
      </c>
      <c r="C705" t="inlineStr">
        <is>
          <t>Test &amp; Assembly</t>
        </is>
      </c>
      <c r="D705" s="7" t="n">
        <v>45748</v>
      </c>
      <c r="E705" s="6" t="n">
        <v>500013.26</v>
      </c>
      <c r="F705" s="6" t="n">
        <v>597394.8</v>
      </c>
      <c r="G705" s="6">
        <f>E705-F705</f>
        <v/>
      </c>
      <c r="H705" s="8">
        <f>IFERROR((E705-F705)/E705,"")</f>
        <v/>
      </c>
      <c r="I705" s="6" t="n">
        <v>-341828.99</v>
      </c>
    </row>
    <row r="706">
      <c r="A706" t="inlineStr">
        <is>
          <t>Brno</t>
        </is>
      </c>
      <c r="B706" t="inlineStr">
        <is>
          <t>BRN-TNA</t>
        </is>
      </c>
      <c r="C706" t="inlineStr">
        <is>
          <t>Test &amp; Assembly</t>
        </is>
      </c>
      <c r="D706" s="7" t="n">
        <v>45778</v>
      </c>
      <c r="E706" s="6" t="n">
        <v>490205.5</v>
      </c>
      <c r="F706" s="6" t="n">
        <v>575950.7</v>
      </c>
      <c r="G706" s="6">
        <f>E706-F706</f>
        <v/>
      </c>
      <c r="H706" s="8">
        <f>IFERROR((E706-F706)/E706,"")</f>
        <v/>
      </c>
      <c r="I706" s="6" t="n">
        <v>-427574.19</v>
      </c>
    </row>
    <row r="707">
      <c r="A707" t="inlineStr">
        <is>
          <t>Brno</t>
        </is>
      </c>
      <c r="B707" t="inlineStr">
        <is>
          <t>BRN-TNA</t>
        </is>
      </c>
      <c r="C707" t="inlineStr">
        <is>
          <t>Test &amp; Assembly</t>
        </is>
      </c>
      <c r="D707" s="7" t="n">
        <v>45809</v>
      </c>
      <c r="E707" s="6" t="n">
        <v>487292.95</v>
      </c>
      <c r="F707" s="6" t="n">
        <v>579475.66</v>
      </c>
      <c r="G707" s="6">
        <f>E707-F707</f>
        <v/>
      </c>
      <c r="H707" s="8">
        <f>IFERROR((E707-F707)/E707,"")</f>
        <v/>
      </c>
      <c r="I707" s="6" t="n">
        <v>-519756.9</v>
      </c>
    </row>
    <row r="708">
      <c r="A708" t="inlineStr">
        <is>
          <t>Brno</t>
        </is>
      </c>
      <c r="B708" t="inlineStr">
        <is>
          <t>BRN-TNA</t>
        </is>
      </c>
      <c r="C708" t="inlineStr">
        <is>
          <t>Test &amp; Assembly</t>
        </is>
      </c>
      <c r="D708" s="7" t="n">
        <v>45839</v>
      </c>
      <c r="E708" s="6" t="n">
        <v>493782.76</v>
      </c>
      <c r="F708" s="6" t="n">
        <v>541818.54</v>
      </c>
      <c r="G708" s="6">
        <f>E708-F708</f>
        <v/>
      </c>
      <c r="H708" s="8">
        <f>IFERROR((E708-F708)/E708,"")</f>
        <v/>
      </c>
      <c r="I708" s="6" t="n">
        <v>-567792.6800000001</v>
      </c>
    </row>
    <row r="709">
      <c r="A709" t="inlineStr">
        <is>
          <t>Brno</t>
        </is>
      </c>
      <c r="B709" t="inlineStr">
        <is>
          <t>BRN-TNA</t>
        </is>
      </c>
      <c r="C709" t="inlineStr">
        <is>
          <t>Test &amp; Assembly</t>
        </is>
      </c>
      <c r="D709" s="7" t="n">
        <v>45870</v>
      </c>
      <c r="E709" s="6" t="n">
        <v>497373.21</v>
      </c>
      <c r="F709" s="6" t="n">
        <v>562609.37</v>
      </c>
      <c r="G709" s="6">
        <f>E709-F709</f>
        <v/>
      </c>
      <c r="H709" s="8">
        <f>IFERROR((E709-F709)/E709,"")</f>
        <v/>
      </c>
      <c r="I709" s="6" t="n">
        <v>-633028.84</v>
      </c>
    </row>
    <row r="710">
      <c r="A710" t="inlineStr">
        <is>
          <t>Brno</t>
        </is>
      </c>
      <c r="B710" t="inlineStr">
        <is>
          <t>BRN-TNA</t>
        </is>
      </c>
      <c r="C710" t="inlineStr">
        <is>
          <t>Test &amp; Assembly</t>
        </is>
      </c>
      <c r="D710" s="7" t="n">
        <v>45901</v>
      </c>
      <c r="E710" s="6" t="n">
        <v>505925.87</v>
      </c>
      <c r="F710" s="6" t="n">
        <v>557309.7</v>
      </c>
      <c r="G710" s="6">
        <f>E710-F710</f>
        <v/>
      </c>
      <c r="H710" s="8">
        <f>IFERROR((E710-F710)/E710,"")</f>
        <v/>
      </c>
      <c r="I710" s="6" t="n">
        <v>-684412.67</v>
      </c>
    </row>
    <row r="711">
      <c r="A711" t="inlineStr">
        <is>
          <t>Brno</t>
        </is>
      </c>
      <c r="B711" t="inlineStr">
        <is>
          <t>BRN-TNA</t>
        </is>
      </c>
      <c r="C711" t="inlineStr">
        <is>
          <t>Test &amp; Assembly</t>
        </is>
      </c>
      <c r="D711" s="7" t="n">
        <v>45931</v>
      </c>
      <c r="E711" s="6" t="n">
        <v>495362.59</v>
      </c>
      <c r="F711" s="6" t="n">
        <v>550223.2</v>
      </c>
      <c r="G711" s="6">
        <f>E711-F711</f>
        <v/>
      </c>
      <c r="H711" s="8">
        <f>IFERROR((E711-F711)/E711,"")</f>
        <v/>
      </c>
      <c r="I711" s="6" t="n">
        <v>-739273.28</v>
      </c>
    </row>
    <row r="712">
      <c r="A712" t="inlineStr">
        <is>
          <t>Brno</t>
        </is>
      </c>
      <c r="B712" t="inlineStr">
        <is>
          <t>BRN-TNA</t>
        </is>
      </c>
      <c r="C712" t="inlineStr">
        <is>
          <t>Test &amp; Assembly</t>
        </is>
      </c>
      <c r="D712" s="7" t="n">
        <v>45962</v>
      </c>
      <c r="E712" s="6" t="n">
        <v>502950.26</v>
      </c>
      <c r="F712" s="6" t="n">
        <v>573011.74</v>
      </c>
      <c r="G712" s="6">
        <f>E712-F712</f>
        <v/>
      </c>
      <c r="H712" s="8">
        <f>IFERROR((E712-F712)/E712,"")</f>
        <v/>
      </c>
      <c r="I712" s="6" t="n">
        <v>-809334.76</v>
      </c>
    </row>
    <row r="713">
      <c r="A713" t="inlineStr">
        <is>
          <t>Brno</t>
        </is>
      </c>
      <c r="B713" t="inlineStr">
        <is>
          <t>BRN-TNA</t>
        </is>
      </c>
      <c r="C713" t="inlineStr">
        <is>
          <t>Test &amp; Assembly</t>
        </is>
      </c>
      <c r="D713" s="7" t="n">
        <v>45992</v>
      </c>
      <c r="E713" s="6" t="n">
        <v>492147.24</v>
      </c>
      <c r="F713" s="6" t="n">
        <v>558605.15</v>
      </c>
      <c r="G713" s="6">
        <f>E713-F713</f>
        <v/>
      </c>
      <c r="H713" s="8">
        <f>IFERROR((E713-F713)/E713,"")</f>
        <v/>
      </c>
      <c r="I713" s="6" t="n">
        <v>-875792.67</v>
      </c>
    </row>
    <row r="714">
      <c r="A714" t="inlineStr">
        <is>
          <t>Brno</t>
        </is>
      </c>
      <c r="B714" t="inlineStr">
        <is>
          <t>BRN-TNA</t>
        </is>
      </c>
      <c r="C714" t="inlineStr">
        <is>
          <t>Test &amp; Assembly</t>
        </is>
      </c>
      <c r="D714" s="7" t="n">
        <v>46023</v>
      </c>
      <c r="E714" s="6" t="n">
        <v>477403.8</v>
      </c>
      <c r="F714" s="6" t="n">
        <v>536693.71</v>
      </c>
      <c r="G714" s="6">
        <f>E714-F714</f>
        <v/>
      </c>
      <c r="H714" s="8">
        <f>IFERROR((E714-F714)/E714,"")</f>
        <v/>
      </c>
      <c r="I714" s="6" t="n">
        <v>-59289.91</v>
      </c>
    </row>
    <row r="715">
      <c r="A715" t="inlineStr">
        <is>
          <t>Brno</t>
        </is>
      </c>
      <c r="B715" t="inlineStr">
        <is>
          <t>BRN-TNA</t>
        </is>
      </c>
      <c r="C715" t="inlineStr">
        <is>
          <t>Test &amp; Assembly</t>
        </is>
      </c>
      <c r="D715" s="7" t="n">
        <v>46054</v>
      </c>
      <c r="E715" s="6" t="n">
        <v>468872.03</v>
      </c>
      <c r="F715" s="6" t="n">
        <v>563584.8100000001</v>
      </c>
      <c r="G715" s="6">
        <f>E715-F715</f>
        <v/>
      </c>
      <c r="H715" s="8">
        <f>IFERROR((E715-F715)/E715,"")</f>
        <v/>
      </c>
      <c r="I715" s="6" t="n">
        <v>-154002.69</v>
      </c>
    </row>
    <row r="716">
      <c r="A716" t="inlineStr">
        <is>
          <t>Brno</t>
        </is>
      </c>
      <c r="B716" t="inlineStr">
        <is>
          <t>BRN-TNA</t>
        </is>
      </c>
      <c r="C716" t="inlineStr">
        <is>
          <t>Test &amp; Assembly</t>
        </is>
      </c>
      <c r="D716" s="7" t="n">
        <v>46082</v>
      </c>
      <c r="E716" s="6" t="n">
        <v>463706.46</v>
      </c>
      <c r="F716" s="6" t="n">
        <v>545816.47</v>
      </c>
      <c r="G716" s="6">
        <f>E716-F716</f>
        <v/>
      </c>
      <c r="H716" s="8">
        <f>IFERROR((E716-F716)/E716,"")</f>
        <v/>
      </c>
      <c r="I716" s="6" t="n">
        <v>-236112.7</v>
      </c>
    </row>
    <row r="717">
      <c r="A717" t="inlineStr">
        <is>
          <t>Brno</t>
        </is>
      </c>
      <c r="B717" t="inlineStr">
        <is>
          <t>BRN-TNA</t>
        </is>
      </c>
      <c r="C717" t="inlineStr">
        <is>
          <t>Test &amp; Assembly</t>
        </is>
      </c>
      <c r="D717" s="7" t="n">
        <v>46113</v>
      </c>
      <c r="E717" s="6" t="n">
        <v>446974.51</v>
      </c>
      <c r="F717" s="6" t="n">
        <v>494319.73</v>
      </c>
      <c r="G717" s="6">
        <f>E717-F717</f>
        <v/>
      </c>
      <c r="H717" s="8">
        <f>IFERROR((E717-F717)/E717,"")</f>
        <v/>
      </c>
      <c r="I717" s="6" t="n">
        <v>-283457.92</v>
      </c>
    </row>
    <row r="718">
      <c r="A718" t="inlineStr">
        <is>
          <t>Brno</t>
        </is>
      </c>
      <c r="B718" t="inlineStr">
        <is>
          <t>BRN-TNA</t>
        </is>
      </c>
      <c r="C718" t="inlineStr">
        <is>
          <t>Test &amp; Assembly</t>
        </is>
      </c>
      <c r="D718" s="7" t="n">
        <v>46143</v>
      </c>
      <c r="E718" s="6" t="n">
        <v>441606.4</v>
      </c>
      <c r="F718" s="6" t="n">
        <v>482066.87</v>
      </c>
      <c r="G718" s="6">
        <f>E718-F718</f>
        <v/>
      </c>
      <c r="H718" s="8">
        <f>IFERROR((E718-F718)/E718,"")</f>
        <v/>
      </c>
      <c r="I718" s="6" t="n">
        <v>-323918.39</v>
      </c>
    </row>
    <row r="719">
      <c r="A719" t="inlineStr">
        <is>
          <t>Brno</t>
        </is>
      </c>
      <c r="B719" t="inlineStr">
        <is>
          <t>BRN-TNA</t>
        </is>
      </c>
      <c r="C719" t="inlineStr">
        <is>
          <t>Test &amp; Assembly</t>
        </is>
      </c>
      <c r="D719" s="7" t="n">
        <v>46174</v>
      </c>
      <c r="E719" s="6" t="n">
        <v>445308.79</v>
      </c>
      <c r="F719" s="6" t="n">
        <v>486311.43</v>
      </c>
      <c r="G719" s="6">
        <f>E719-F719</f>
        <v/>
      </c>
      <c r="H719" s="8">
        <f>IFERROR((E719-F719)/E719,"")</f>
        <v/>
      </c>
      <c r="I719" s="6" t="n">
        <v>-364921.03</v>
      </c>
    </row>
    <row r="720">
      <c r="A720" t="inlineStr">
        <is>
          <t>Brno</t>
        </is>
      </c>
      <c r="B720" t="inlineStr">
        <is>
          <t>BRN-TNA</t>
        </is>
      </c>
      <c r="C720" t="inlineStr">
        <is>
          <t>Test &amp; Assembly</t>
        </is>
      </c>
      <c r="D720" s="7" t="n">
        <v>46204</v>
      </c>
      <c r="E720" s="6" t="n">
        <v>450236.16</v>
      </c>
      <c r="F720" s="6" t="n">
        <v>495940.94</v>
      </c>
      <c r="G720" s="6">
        <f>E720-F720</f>
        <v/>
      </c>
      <c r="H720" s="8">
        <f>IFERROR((E720-F720)/E720,"")</f>
        <v/>
      </c>
      <c r="I720" s="6" t="n">
        <v>-410625.81</v>
      </c>
    </row>
    <row r="721">
      <c r="A721" t="inlineStr">
        <is>
          <t>Brno</t>
        </is>
      </c>
      <c r="B721" t="inlineStr">
        <is>
          <t>BRN-TNA</t>
        </is>
      </c>
      <c r="C721" t="inlineStr">
        <is>
          <t>Test &amp; Assembly</t>
        </is>
      </c>
      <c r="D721" s="7" t="n">
        <v>46235</v>
      </c>
      <c r="E721" s="6" t="n">
        <v>456495.08</v>
      </c>
      <c r="F721" s="6" t="n">
        <v>495394.69</v>
      </c>
      <c r="G721" s="6">
        <f>E721-F721</f>
        <v/>
      </c>
      <c r="H721" s="8">
        <f>IFERROR((E721-F721)/E721,"")</f>
        <v/>
      </c>
      <c r="I721" s="6" t="n">
        <v>-449525.42</v>
      </c>
    </row>
    <row r="722">
      <c r="A722" t="inlineStr">
        <is>
          <t>Brno</t>
        </is>
      </c>
      <c r="B722" t="inlineStr">
        <is>
          <t>BRN-FAC</t>
        </is>
      </c>
      <c r="C722" t="inlineStr">
        <is>
          <t>Facilities</t>
        </is>
      </c>
      <c r="D722" s="7" t="n">
        <v>45170</v>
      </c>
      <c r="E722" s="6" t="n">
        <v>734100.3199999999</v>
      </c>
      <c r="F722" s="6" t="n">
        <v>593110.75</v>
      </c>
      <c r="G722" s="6">
        <f>E722-F722</f>
        <v/>
      </c>
      <c r="H722" s="8">
        <f>IFERROR((E722-F722)/E722,"")</f>
        <v/>
      </c>
      <c r="I722" s="6" t="n">
        <v>140989.57</v>
      </c>
    </row>
    <row r="723">
      <c r="A723" t="inlineStr">
        <is>
          <t>Brno</t>
        </is>
      </c>
      <c r="B723" t="inlineStr">
        <is>
          <t>BRN-FAC</t>
        </is>
      </c>
      <c r="C723" t="inlineStr">
        <is>
          <t>Facilities</t>
        </is>
      </c>
      <c r="D723" s="7" t="n">
        <v>45200</v>
      </c>
      <c r="E723" s="6" t="n">
        <v>771508.53</v>
      </c>
      <c r="F723" s="6" t="n">
        <v>617753.09</v>
      </c>
      <c r="G723" s="6">
        <f>E723-F723</f>
        <v/>
      </c>
      <c r="H723" s="8">
        <f>IFERROR((E723-F723)/E723,"")</f>
        <v/>
      </c>
      <c r="I723" s="6" t="n">
        <v>294745.01</v>
      </c>
    </row>
    <row r="724">
      <c r="A724" t="inlineStr">
        <is>
          <t>Brno</t>
        </is>
      </c>
      <c r="B724" t="inlineStr">
        <is>
          <t>BRN-FAC</t>
        </is>
      </c>
      <c r="C724" t="inlineStr">
        <is>
          <t>Facilities</t>
        </is>
      </c>
      <c r="D724" s="7" t="n">
        <v>45231</v>
      </c>
      <c r="E724" s="6" t="n">
        <v>821618.47</v>
      </c>
      <c r="F724" s="6" t="n">
        <v>608243.48</v>
      </c>
      <c r="G724" s="6">
        <f>E724-F724</f>
        <v/>
      </c>
      <c r="H724" s="8">
        <f>IFERROR((E724-F724)/E724,"")</f>
        <v/>
      </c>
      <c r="I724" s="6" t="n">
        <v>508120</v>
      </c>
    </row>
    <row r="725">
      <c r="A725" t="inlineStr">
        <is>
          <t>Brno</t>
        </is>
      </c>
      <c r="B725" t="inlineStr">
        <is>
          <t>BRN-FAC</t>
        </is>
      </c>
      <c r="C725" t="inlineStr">
        <is>
          <t>Facilities</t>
        </is>
      </c>
      <c r="D725" s="7" t="n">
        <v>45261</v>
      </c>
      <c r="E725" s="6" t="n">
        <v>798675.15</v>
      </c>
      <c r="F725" s="6" t="n">
        <v>643783.59</v>
      </c>
      <c r="G725" s="6">
        <f>E725-F725</f>
        <v/>
      </c>
      <c r="H725" s="8">
        <f>IFERROR((E725-F725)/E725,"")</f>
        <v/>
      </c>
      <c r="I725" s="6" t="n">
        <v>663011.5600000001</v>
      </c>
    </row>
    <row r="726">
      <c r="A726" t="inlineStr">
        <is>
          <t>Brno</t>
        </is>
      </c>
      <c r="B726" t="inlineStr">
        <is>
          <t>BRN-FAC</t>
        </is>
      </c>
      <c r="C726" t="inlineStr">
        <is>
          <t>Facilities</t>
        </is>
      </c>
      <c r="D726" s="7" t="n">
        <v>45292</v>
      </c>
      <c r="E726" s="6" t="n">
        <v>790411.27</v>
      </c>
      <c r="F726" s="6" t="n">
        <v>597490.72</v>
      </c>
      <c r="G726" s="6">
        <f>E726-F726</f>
        <v/>
      </c>
      <c r="H726" s="8">
        <f>IFERROR((E726-F726)/E726,"")</f>
        <v/>
      </c>
      <c r="I726" s="6" t="n">
        <v>192920.55</v>
      </c>
    </row>
    <row r="727">
      <c r="A727" t="inlineStr">
        <is>
          <t>Brno</t>
        </is>
      </c>
      <c r="B727" t="inlineStr">
        <is>
          <t>BRN-FAC</t>
        </is>
      </c>
      <c r="C727" t="inlineStr">
        <is>
          <t>Facilities</t>
        </is>
      </c>
      <c r="D727" s="7" t="n">
        <v>45323</v>
      </c>
      <c r="E727" s="6" t="n">
        <v>783947.2</v>
      </c>
      <c r="F727" s="6" t="n">
        <v>622344.04</v>
      </c>
      <c r="G727" s="6">
        <f>E727-F727</f>
        <v/>
      </c>
      <c r="H727" s="8">
        <f>IFERROR((E727-F727)/E727,"")</f>
        <v/>
      </c>
      <c r="I727" s="6" t="n">
        <v>354523.71</v>
      </c>
    </row>
    <row r="728">
      <c r="A728" t="inlineStr">
        <is>
          <t>Brno</t>
        </is>
      </c>
      <c r="B728" t="inlineStr">
        <is>
          <t>BRN-FAC</t>
        </is>
      </c>
      <c r="C728" t="inlineStr">
        <is>
          <t>Facilities</t>
        </is>
      </c>
      <c r="D728" s="7" t="n">
        <v>45352</v>
      </c>
      <c r="E728" s="6" t="n">
        <v>707211.65</v>
      </c>
      <c r="F728" s="6" t="n">
        <v>577344.45</v>
      </c>
      <c r="G728" s="6">
        <f>E728-F728</f>
        <v/>
      </c>
      <c r="H728" s="8">
        <f>IFERROR((E728-F728)/E728,"")</f>
        <v/>
      </c>
      <c r="I728" s="6" t="n">
        <v>484390.91</v>
      </c>
    </row>
    <row r="729">
      <c r="A729" t="inlineStr">
        <is>
          <t>Brno</t>
        </is>
      </c>
      <c r="B729" t="inlineStr">
        <is>
          <t>BRN-FAC</t>
        </is>
      </c>
      <c r="C729" t="inlineStr">
        <is>
          <t>Facilities</t>
        </is>
      </c>
      <c r="D729" s="7" t="n">
        <v>45383</v>
      </c>
      <c r="E729" s="6" t="n">
        <v>689425.22</v>
      </c>
      <c r="F729" s="6" t="n">
        <v>578384.87</v>
      </c>
      <c r="G729" s="6">
        <f>E729-F729</f>
        <v/>
      </c>
      <c r="H729" s="8">
        <f>IFERROR((E729-F729)/E729,"")</f>
        <v/>
      </c>
      <c r="I729" s="6" t="n">
        <v>595431.26</v>
      </c>
    </row>
    <row r="730">
      <c r="A730" t="inlineStr">
        <is>
          <t>Brno</t>
        </is>
      </c>
      <c r="B730" t="inlineStr">
        <is>
          <t>BRN-FAC</t>
        </is>
      </c>
      <c r="C730" t="inlineStr">
        <is>
          <t>Facilities</t>
        </is>
      </c>
      <c r="D730" s="7" t="n">
        <v>45413</v>
      </c>
      <c r="E730" s="6" t="n">
        <v>675204.55</v>
      </c>
      <c r="F730" s="6" t="n">
        <v>579376.86</v>
      </c>
      <c r="G730" s="6">
        <f>E730-F730</f>
        <v/>
      </c>
      <c r="H730" s="8">
        <f>IFERROR((E730-F730)/E730,"")</f>
        <v/>
      </c>
      <c r="I730" s="6" t="n">
        <v>691258.95</v>
      </c>
    </row>
    <row r="731">
      <c r="A731" t="inlineStr">
        <is>
          <t>Brno</t>
        </is>
      </c>
      <c r="B731" t="inlineStr">
        <is>
          <t>BRN-FAC</t>
        </is>
      </c>
      <c r="C731" t="inlineStr">
        <is>
          <t>Facilities</t>
        </is>
      </c>
      <c r="D731" s="7" t="n">
        <v>45444</v>
      </c>
      <c r="E731" s="6" t="n">
        <v>696028.47</v>
      </c>
      <c r="F731" s="6" t="n">
        <v>543351.59</v>
      </c>
      <c r="G731" s="6">
        <f>E731-F731</f>
        <v/>
      </c>
      <c r="H731" s="8">
        <f>IFERROR((E731-F731)/E731,"")</f>
        <v/>
      </c>
      <c r="I731" s="6" t="n">
        <v>843935.83</v>
      </c>
    </row>
    <row r="732">
      <c r="A732" t="inlineStr">
        <is>
          <t>Brno</t>
        </is>
      </c>
      <c r="B732" t="inlineStr">
        <is>
          <t>BRN-FAC</t>
        </is>
      </c>
      <c r="C732" t="inlineStr">
        <is>
          <t>Facilities</t>
        </is>
      </c>
      <c r="D732" s="7" t="n">
        <v>45474</v>
      </c>
      <c r="E732" s="6" t="n">
        <v>708715.6</v>
      </c>
      <c r="F732" s="6" t="n">
        <v>575274.58</v>
      </c>
      <c r="G732" s="6">
        <f>E732-F732</f>
        <v/>
      </c>
      <c r="H732" s="8">
        <f>IFERROR((E732-F732)/E732,"")</f>
        <v/>
      </c>
      <c r="I732" s="6" t="n">
        <v>977376.85</v>
      </c>
    </row>
    <row r="733">
      <c r="A733" t="inlineStr">
        <is>
          <t>Brno</t>
        </is>
      </c>
      <c r="B733" t="inlineStr">
        <is>
          <t>BRN-FAC</t>
        </is>
      </c>
      <c r="C733" t="inlineStr">
        <is>
          <t>Facilities</t>
        </is>
      </c>
      <c r="D733" s="7" t="n">
        <v>45505</v>
      </c>
      <c r="E733" s="6" t="n">
        <v>718945.47</v>
      </c>
      <c r="F733" s="6" t="n">
        <v>545357.45</v>
      </c>
      <c r="G733" s="6">
        <f>E733-F733</f>
        <v/>
      </c>
      <c r="H733" s="8">
        <f>IFERROR((E733-F733)/E733,"")</f>
        <v/>
      </c>
      <c r="I733" s="6" t="n">
        <v>1150964.87</v>
      </c>
    </row>
    <row r="734">
      <c r="A734" t="inlineStr">
        <is>
          <t>Brno</t>
        </is>
      </c>
      <c r="B734" t="inlineStr">
        <is>
          <t>BRN-FAC</t>
        </is>
      </c>
      <c r="C734" t="inlineStr">
        <is>
          <t>Facilities</t>
        </is>
      </c>
      <c r="D734" s="7" t="n">
        <v>45536</v>
      </c>
      <c r="E734" s="6" t="n">
        <v>688996</v>
      </c>
      <c r="F734" s="6" t="n">
        <v>529022.88</v>
      </c>
      <c r="G734" s="6">
        <f>E734-F734</f>
        <v/>
      </c>
      <c r="H734" s="8">
        <f>IFERROR((E734-F734)/E734,"")</f>
        <v/>
      </c>
      <c r="I734" s="6" t="n">
        <v>1310937.99</v>
      </c>
    </row>
    <row r="735">
      <c r="A735" t="inlineStr">
        <is>
          <t>Brno</t>
        </is>
      </c>
      <c r="B735" t="inlineStr">
        <is>
          <t>BRN-FAC</t>
        </is>
      </c>
      <c r="C735" t="inlineStr">
        <is>
          <t>Facilities</t>
        </is>
      </c>
      <c r="D735" s="7" t="n">
        <v>45566</v>
      </c>
      <c r="E735" s="6" t="n">
        <v>697198.0699999999</v>
      </c>
      <c r="F735" s="6" t="n">
        <v>545592.54</v>
      </c>
      <c r="G735" s="6">
        <f>E735-F735</f>
        <v/>
      </c>
      <c r="H735" s="8">
        <f>IFERROR((E735-F735)/E735,"")</f>
        <v/>
      </c>
      <c r="I735" s="6" t="n">
        <v>1462543.52</v>
      </c>
    </row>
    <row r="736">
      <c r="A736" t="inlineStr">
        <is>
          <t>Brno</t>
        </is>
      </c>
      <c r="B736" t="inlineStr">
        <is>
          <t>BRN-FAC</t>
        </is>
      </c>
      <c r="C736" t="inlineStr">
        <is>
          <t>Facilities</t>
        </is>
      </c>
      <c r="D736" s="7" t="n">
        <v>45597</v>
      </c>
      <c r="E736" s="6" t="n">
        <v>743332.3</v>
      </c>
      <c r="F736" s="6" t="n">
        <v>553993</v>
      </c>
      <c r="G736" s="6">
        <f>E736-F736</f>
        <v/>
      </c>
      <c r="H736" s="8">
        <f>IFERROR((E736-F736)/E736,"")</f>
        <v/>
      </c>
      <c r="I736" s="6" t="n">
        <v>1651882.82</v>
      </c>
    </row>
    <row r="737">
      <c r="A737" t="inlineStr">
        <is>
          <t>Brno</t>
        </is>
      </c>
      <c r="B737" t="inlineStr">
        <is>
          <t>BRN-FAC</t>
        </is>
      </c>
      <c r="C737" t="inlineStr">
        <is>
          <t>Facilities</t>
        </is>
      </c>
      <c r="D737" s="7" t="n">
        <v>45627</v>
      </c>
      <c r="E737" s="6" t="n">
        <v>744512.0600000001</v>
      </c>
      <c r="F737" s="6" t="n">
        <v>573950.41</v>
      </c>
      <c r="G737" s="6">
        <f>E737-F737</f>
        <v/>
      </c>
      <c r="H737" s="8">
        <f>IFERROR((E737-F737)/E737,"")</f>
        <v/>
      </c>
      <c r="I737" s="6" t="n">
        <v>1822444.47</v>
      </c>
    </row>
    <row r="738">
      <c r="A738" t="inlineStr">
        <is>
          <t>Brno</t>
        </is>
      </c>
      <c r="B738" t="inlineStr">
        <is>
          <t>BRN-FAC</t>
        </is>
      </c>
      <c r="C738" t="inlineStr">
        <is>
          <t>Facilities</t>
        </is>
      </c>
      <c r="D738" s="7" t="n">
        <v>45658</v>
      </c>
      <c r="E738" s="6" t="n">
        <v>708198.1800000001</v>
      </c>
      <c r="F738" s="6" t="n">
        <v>543426.48</v>
      </c>
      <c r="G738" s="6">
        <f>E738-F738</f>
        <v/>
      </c>
      <c r="H738" s="8">
        <f>IFERROR((E738-F738)/E738,"")</f>
        <v/>
      </c>
      <c r="I738" s="6" t="n">
        <v>164771.7</v>
      </c>
    </row>
    <row r="739">
      <c r="A739" t="inlineStr">
        <is>
          <t>Brno</t>
        </is>
      </c>
      <c r="B739" t="inlineStr">
        <is>
          <t>BRN-FAC</t>
        </is>
      </c>
      <c r="C739" t="inlineStr">
        <is>
          <t>Facilities</t>
        </is>
      </c>
      <c r="D739" s="7" t="n">
        <v>45689</v>
      </c>
      <c r="E739" s="6" t="n">
        <v>699723.61</v>
      </c>
      <c r="F739" s="6" t="n">
        <v>563501.03</v>
      </c>
      <c r="G739" s="6">
        <f>E739-F739</f>
        <v/>
      </c>
      <c r="H739" s="8">
        <f>IFERROR((E739-F739)/E739,"")</f>
        <v/>
      </c>
      <c r="I739" s="6" t="n">
        <v>300994.28</v>
      </c>
    </row>
    <row r="740">
      <c r="A740" t="inlineStr">
        <is>
          <t>Brno</t>
        </is>
      </c>
      <c r="B740" t="inlineStr">
        <is>
          <t>BRN-FAC</t>
        </is>
      </c>
      <c r="C740" t="inlineStr">
        <is>
          <t>Facilities</t>
        </is>
      </c>
      <c r="D740" s="7" t="n">
        <v>45717</v>
      </c>
      <c r="E740" s="6" t="n">
        <v>630992.3100000001</v>
      </c>
      <c r="F740" s="6" t="n">
        <v>511041.97</v>
      </c>
      <c r="G740" s="6">
        <f>E740-F740</f>
        <v/>
      </c>
      <c r="H740" s="8">
        <f>IFERROR((E740-F740)/E740,"")</f>
        <v/>
      </c>
      <c r="I740" s="6" t="n">
        <v>420944.62</v>
      </c>
    </row>
    <row r="741">
      <c r="A741" t="inlineStr">
        <is>
          <t>Brno</t>
        </is>
      </c>
      <c r="B741" t="inlineStr">
        <is>
          <t>BRN-FAC</t>
        </is>
      </c>
      <c r="C741" t="inlineStr">
        <is>
          <t>Facilities</t>
        </is>
      </c>
      <c r="D741" s="7" t="n">
        <v>45748</v>
      </c>
      <c r="E741" s="6" t="n">
        <v>619103.5699999999</v>
      </c>
      <c r="F741" s="6" t="n">
        <v>488100.67</v>
      </c>
      <c r="G741" s="6">
        <f>E741-F741</f>
        <v/>
      </c>
      <c r="H741" s="8">
        <f>IFERROR((E741-F741)/E741,"")</f>
        <v/>
      </c>
      <c r="I741" s="6" t="n">
        <v>551947.52</v>
      </c>
    </row>
    <row r="742">
      <c r="A742" t="inlineStr">
        <is>
          <t>Brno</t>
        </is>
      </c>
      <c r="B742" t="inlineStr">
        <is>
          <t>BRN-FAC</t>
        </is>
      </c>
      <c r="C742" t="inlineStr">
        <is>
          <t>Facilities</t>
        </is>
      </c>
      <c r="D742" s="7" t="n">
        <v>45778</v>
      </c>
      <c r="E742" s="6" t="n">
        <v>614855.02</v>
      </c>
      <c r="F742" s="6" t="n">
        <v>481012.13</v>
      </c>
      <c r="G742" s="6">
        <f>E742-F742</f>
        <v/>
      </c>
      <c r="H742" s="8">
        <f>IFERROR((E742-F742)/E742,"")</f>
        <v/>
      </c>
      <c r="I742" s="6" t="n">
        <v>685790.41</v>
      </c>
    </row>
    <row r="743">
      <c r="A743" t="inlineStr">
        <is>
          <t>Brno</t>
        </is>
      </c>
      <c r="B743" t="inlineStr">
        <is>
          <t>BRN-FAC</t>
        </is>
      </c>
      <c r="C743" t="inlineStr">
        <is>
          <t>Facilities</t>
        </is>
      </c>
      <c r="D743" s="7" t="n">
        <v>45809</v>
      </c>
      <c r="E743" s="6" t="n">
        <v>636043.98</v>
      </c>
      <c r="F743" s="6" t="n">
        <v>494844.98</v>
      </c>
      <c r="G743" s="6">
        <f>E743-F743</f>
        <v/>
      </c>
      <c r="H743" s="8">
        <f>IFERROR((E743-F743)/E743,"")</f>
        <v/>
      </c>
      <c r="I743" s="6" t="n">
        <v>826989.41</v>
      </c>
    </row>
    <row r="744">
      <c r="A744" t="inlineStr">
        <is>
          <t>Brno</t>
        </is>
      </c>
      <c r="B744" t="inlineStr">
        <is>
          <t>BRN-FAC</t>
        </is>
      </c>
      <c r="C744" t="inlineStr">
        <is>
          <t>Facilities</t>
        </is>
      </c>
      <c r="D744" s="7" t="n">
        <v>45839</v>
      </c>
      <c r="E744" s="6" t="n">
        <v>653567.67</v>
      </c>
      <c r="F744" s="6" t="n">
        <v>516234.77</v>
      </c>
      <c r="G744" s="6">
        <f>E744-F744</f>
        <v/>
      </c>
      <c r="H744" s="8">
        <f>IFERROR((E744-F744)/E744,"")</f>
        <v/>
      </c>
      <c r="I744" s="6" t="n">
        <v>964322.3100000001</v>
      </c>
    </row>
    <row r="745">
      <c r="A745" t="inlineStr">
        <is>
          <t>Brno</t>
        </is>
      </c>
      <c r="B745" t="inlineStr">
        <is>
          <t>BRN-FAC</t>
        </is>
      </c>
      <c r="C745" t="inlineStr">
        <is>
          <t>Facilities</t>
        </is>
      </c>
      <c r="D745" s="7" t="n">
        <v>45870</v>
      </c>
      <c r="E745" s="6" t="n">
        <v>662904.08</v>
      </c>
      <c r="F745" s="6" t="n">
        <v>528361.28</v>
      </c>
      <c r="G745" s="6">
        <f>E745-F745</f>
        <v/>
      </c>
      <c r="H745" s="8">
        <f>IFERROR((E745-F745)/E745,"")</f>
        <v/>
      </c>
      <c r="I745" s="6" t="n">
        <v>1098865.11</v>
      </c>
    </row>
    <row r="746">
      <c r="A746" t="inlineStr">
        <is>
          <t>Brno</t>
        </is>
      </c>
      <c r="B746" t="inlineStr">
        <is>
          <t>BRN-FAC</t>
        </is>
      </c>
      <c r="C746" t="inlineStr">
        <is>
          <t>Facilities</t>
        </is>
      </c>
      <c r="D746" s="7" t="n">
        <v>45901</v>
      </c>
      <c r="E746" s="6" t="n">
        <v>630114.53</v>
      </c>
      <c r="F746" s="6" t="n">
        <v>502667.98</v>
      </c>
      <c r="G746" s="6">
        <f>E746-F746</f>
        <v/>
      </c>
      <c r="H746" s="8">
        <f>IFERROR((E746-F746)/E746,"")</f>
        <v/>
      </c>
      <c r="I746" s="6" t="n">
        <v>1226311.66</v>
      </c>
    </row>
    <row r="747">
      <c r="A747" t="inlineStr">
        <is>
          <t>Brno</t>
        </is>
      </c>
      <c r="B747" t="inlineStr">
        <is>
          <t>BRN-FAC</t>
        </is>
      </c>
      <c r="C747" t="inlineStr">
        <is>
          <t>Facilities</t>
        </is>
      </c>
      <c r="D747" s="7" t="n">
        <v>45931</v>
      </c>
      <c r="E747" s="6" t="n">
        <v>638795.9</v>
      </c>
      <c r="F747" s="6" t="n">
        <v>535643.38</v>
      </c>
      <c r="G747" s="6">
        <f>E747-F747</f>
        <v/>
      </c>
      <c r="H747" s="8">
        <f>IFERROR((E747-F747)/E747,"")</f>
        <v/>
      </c>
      <c r="I747" s="6" t="n">
        <v>1329464.18</v>
      </c>
    </row>
    <row r="748">
      <c r="A748" t="inlineStr">
        <is>
          <t>Brno</t>
        </is>
      </c>
      <c r="B748" t="inlineStr">
        <is>
          <t>BRN-FAC</t>
        </is>
      </c>
      <c r="C748" t="inlineStr">
        <is>
          <t>Facilities</t>
        </is>
      </c>
      <c r="D748" s="7" t="n">
        <v>45962</v>
      </c>
      <c r="E748" s="6" t="n">
        <v>686832.86</v>
      </c>
      <c r="F748" s="6" t="n">
        <v>532679.66</v>
      </c>
      <c r="G748" s="6">
        <f>E748-F748</f>
        <v/>
      </c>
      <c r="H748" s="8">
        <f>IFERROR((E748-F748)/E748,"")</f>
        <v/>
      </c>
      <c r="I748" s="6" t="n">
        <v>1483617.38</v>
      </c>
    </row>
    <row r="749">
      <c r="A749" t="inlineStr">
        <is>
          <t>Brno</t>
        </is>
      </c>
      <c r="B749" t="inlineStr">
        <is>
          <t>BRN-FAC</t>
        </is>
      </c>
      <c r="C749" t="inlineStr">
        <is>
          <t>Facilities</t>
        </is>
      </c>
      <c r="D749" s="7" t="n">
        <v>45992</v>
      </c>
      <c r="E749" s="6" t="n">
        <v>684789.75</v>
      </c>
      <c r="F749" s="6" t="n">
        <v>513150.86</v>
      </c>
      <c r="G749" s="6">
        <f>E749-F749</f>
        <v/>
      </c>
      <c r="H749" s="8">
        <f>IFERROR((E749-F749)/E749,"")</f>
        <v/>
      </c>
      <c r="I749" s="6" t="n">
        <v>1655256.27</v>
      </c>
    </row>
    <row r="750">
      <c r="A750" t="inlineStr">
        <is>
          <t>Brno</t>
        </is>
      </c>
      <c r="B750" t="inlineStr">
        <is>
          <t>BRN-FAC</t>
        </is>
      </c>
      <c r="C750" t="inlineStr">
        <is>
          <t>Facilities</t>
        </is>
      </c>
      <c r="D750" s="7" t="n">
        <v>46023</v>
      </c>
      <c r="E750" s="6" t="n">
        <v>675757.99</v>
      </c>
      <c r="F750" s="6" t="n">
        <v>534526.76</v>
      </c>
      <c r="G750" s="6">
        <f>E750-F750</f>
        <v/>
      </c>
      <c r="H750" s="8">
        <f>IFERROR((E750-F750)/E750,"")</f>
        <v/>
      </c>
      <c r="I750" s="6" t="n">
        <v>141231.23</v>
      </c>
    </row>
    <row r="751">
      <c r="A751" t="inlineStr">
        <is>
          <t>Brno</t>
        </is>
      </c>
      <c r="B751" t="inlineStr">
        <is>
          <t>BRN-FAC</t>
        </is>
      </c>
      <c r="C751" t="inlineStr">
        <is>
          <t>Facilities</t>
        </is>
      </c>
      <c r="D751" s="7" t="n">
        <v>46054</v>
      </c>
      <c r="E751" s="6" t="n">
        <v>658468.15</v>
      </c>
      <c r="F751" s="6" t="n">
        <v>505150.82</v>
      </c>
      <c r="G751" s="6">
        <f>E751-F751</f>
        <v/>
      </c>
      <c r="H751" s="8">
        <f>IFERROR((E751-F751)/E751,"")</f>
        <v/>
      </c>
      <c r="I751" s="6" t="n">
        <v>294548.56</v>
      </c>
    </row>
    <row r="752">
      <c r="A752" t="inlineStr">
        <is>
          <t>Brno</t>
        </is>
      </c>
      <c r="B752" t="inlineStr">
        <is>
          <t>BRN-FAC</t>
        </is>
      </c>
      <c r="C752" t="inlineStr">
        <is>
          <t>Facilities</t>
        </is>
      </c>
      <c r="D752" s="7" t="n">
        <v>46082</v>
      </c>
      <c r="E752" s="6" t="n">
        <v>601951.3</v>
      </c>
      <c r="F752" s="6" t="n">
        <v>477306.59</v>
      </c>
      <c r="G752" s="6">
        <f>E752-F752</f>
        <v/>
      </c>
      <c r="H752" s="8">
        <f>IFERROR((E752-F752)/E752,"")</f>
        <v/>
      </c>
      <c r="I752" s="6" t="n">
        <v>419193.27</v>
      </c>
    </row>
    <row r="753">
      <c r="A753" t="inlineStr">
        <is>
          <t>Brno</t>
        </is>
      </c>
      <c r="B753" t="inlineStr">
        <is>
          <t>BRN-FAC</t>
        </is>
      </c>
      <c r="C753" t="inlineStr">
        <is>
          <t>Facilities</t>
        </is>
      </c>
      <c r="D753" s="7" t="n">
        <v>46113</v>
      </c>
      <c r="E753" s="6" t="n">
        <v>565719.47</v>
      </c>
      <c r="F753" s="6" t="n">
        <v>470994.38</v>
      </c>
      <c r="G753" s="6">
        <f>E753-F753</f>
        <v/>
      </c>
      <c r="H753" s="8">
        <f>IFERROR((E753-F753)/E753,"")</f>
        <v/>
      </c>
      <c r="I753" s="6" t="n">
        <v>513918.36</v>
      </c>
    </row>
    <row r="754">
      <c r="A754" t="inlineStr">
        <is>
          <t>Brno</t>
        </is>
      </c>
      <c r="B754" t="inlineStr">
        <is>
          <t>BRN-FAC</t>
        </is>
      </c>
      <c r="C754" t="inlineStr">
        <is>
          <t>Facilities</t>
        </is>
      </c>
      <c r="D754" s="7" t="n">
        <v>46143</v>
      </c>
      <c r="E754" s="6" t="n">
        <v>559996.55</v>
      </c>
      <c r="F754" s="6" t="n">
        <v>451461.02</v>
      </c>
      <c r="G754" s="6">
        <f>E754-F754</f>
        <v/>
      </c>
      <c r="H754" s="8">
        <f>IFERROR((E754-F754)/E754,"")</f>
        <v/>
      </c>
      <c r="I754" s="6" t="n">
        <v>622453.89</v>
      </c>
    </row>
    <row r="755">
      <c r="A755" t="inlineStr">
        <is>
          <t>Brno</t>
        </is>
      </c>
      <c r="B755" t="inlineStr">
        <is>
          <t>BRN-FAC</t>
        </is>
      </c>
      <c r="C755" t="inlineStr">
        <is>
          <t>Facilities</t>
        </is>
      </c>
      <c r="D755" s="7" t="n">
        <v>46174</v>
      </c>
      <c r="E755" s="6" t="n">
        <v>563824.41</v>
      </c>
      <c r="F755" s="6" t="n">
        <v>422118.47</v>
      </c>
      <c r="G755" s="6">
        <f>E755-F755</f>
        <v/>
      </c>
      <c r="H755" s="8">
        <f>IFERROR((E755-F755)/E755,"")</f>
        <v/>
      </c>
      <c r="I755" s="6" t="n">
        <v>764159.83</v>
      </c>
    </row>
    <row r="756">
      <c r="A756" t="inlineStr">
        <is>
          <t>Brno</t>
        </is>
      </c>
      <c r="B756" t="inlineStr">
        <is>
          <t>BRN-FAC</t>
        </is>
      </c>
      <c r="C756" t="inlineStr">
        <is>
          <t>Facilities</t>
        </is>
      </c>
      <c r="D756" s="7" t="n">
        <v>46204</v>
      </c>
      <c r="E756" s="6" t="n">
        <v>605356.39</v>
      </c>
      <c r="F756" s="6" t="n">
        <v>473052.28</v>
      </c>
      <c r="G756" s="6">
        <f>E756-F756</f>
        <v/>
      </c>
      <c r="H756" s="8">
        <f>IFERROR((E756-F756)/E756,"")</f>
        <v/>
      </c>
      <c r="I756" s="6" t="n">
        <v>896463.9399999999</v>
      </c>
    </row>
    <row r="757">
      <c r="A757" t="inlineStr">
        <is>
          <t>Brno</t>
        </is>
      </c>
      <c r="B757" t="inlineStr">
        <is>
          <t>BRN-FAC</t>
        </is>
      </c>
      <c r="C757" t="inlineStr">
        <is>
          <t>Facilities</t>
        </is>
      </c>
      <c r="D757" s="7" t="n">
        <v>46235</v>
      </c>
      <c r="E757" s="6" t="n">
        <v>613076.17</v>
      </c>
      <c r="F757" s="6" t="n">
        <v>475042.32</v>
      </c>
      <c r="G757" s="6">
        <f>E757-F757</f>
        <v/>
      </c>
      <c r="H757" s="8">
        <f>IFERROR((E757-F757)/E757,"")</f>
        <v/>
      </c>
      <c r="I757" s="6" t="n">
        <v>1034497.79</v>
      </c>
    </row>
    <row r="758">
      <c r="A758" t="inlineStr">
        <is>
          <t>Brno</t>
        </is>
      </c>
      <c r="B758" t="inlineStr">
        <is>
          <t>BRN-QLT</t>
        </is>
      </c>
      <c r="C758" t="inlineStr">
        <is>
          <t>Quality</t>
        </is>
      </c>
      <c r="D758" s="7" t="n">
        <v>45170</v>
      </c>
      <c r="E758" s="6" t="n">
        <v>327205.07</v>
      </c>
      <c r="F758" s="6" t="n">
        <v>324075.53</v>
      </c>
      <c r="G758" s="6">
        <f>E758-F758</f>
        <v/>
      </c>
      <c r="H758" s="8">
        <f>IFERROR((E758-F758)/E758,"")</f>
        <v/>
      </c>
      <c r="I758" s="6" t="n">
        <v>3129.54</v>
      </c>
    </row>
    <row r="759">
      <c r="A759" t="inlineStr">
        <is>
          <t>Brno</t>
        </is>
      </c>
      <c r="B759" t="inlineStr">
        <is>
          <t>BRN-QLT</t>
        </is>
      </c>
      <c r="C759" t="inlineStr">
        <is>
          <t>Quality</t>
        </is>
      </c>
      <c r="D759" s="7" t="n">
        <v>45200</v>
      </c>
      <c r="E759" s="6" t="n">
        <v>326090.51</v>
      </c>
      <c r="F759" s="6" t="n">
        <v>327382.03</v>
      </c>
      <c r="G759" s="6">
        <f>E759-F759</f>
        <v/>
      </c>
      <c r="H759" s="8">
        <f>IFERROR((E759-F759)/E759,"")</f>
        <v/>
      </c>
      <c r="I759" s="6" t="n">
        <v>1838.02</v>
      </c>
    </row>
    <row r="760">
      <c r="A760" t="inlineStr">
        <is>
          <t>Brno</t>
        </is>
      </c>
      <c r="B760" t="inlineStr">
        <is>
          <t>BRN-QLT</t>
        </is>
      </c>
      <c r="C760" t="inlineStr">
        <is>
          <t>Quality</t>
        </is>
      </c>
      <c r="D760" s="7" t="n">
        <v>45231</v>
      </c>
      <c r="E760" s="6" t="n">
        <v>324809.38</v>
      </c>
      <c r="F760" s="6" t="n">
        <v>327869.26</v>
      </c>
      <c r="G760" s="6">
        <f>E760-F760</f>
        <v/>
      </c>
      <c r="H760" s="8">
        <f>IFERROR((E760-F760)/E760,"")</f>
        <v/>
      </c>
      <c r="I760" s="6" t="n">
        <v>-1221.86</v>
      </c>
    </row>
    <row r="761">
      <c r="A761" t="inlineStr">
        <is>
          <t>Brno</t>
        </is>
      </c>
      <c r="B761" t="inlineStr">
        <is>
          <t>BRN-QLT</t>
        </is>
      </c>
      <c r="C761" t="inlineStr">
        <is>
          <t>Quality</t>
        </is>
      </c>
      <c r="D761" s="7" t="n">
        <v>45261</v>
      </c>
      <c r="E761" s="6" t="n">
        <v>322835.11</v>
      </c>
      <c r="F761" s="6" t="n">
        <v>318365.77</v>
      </c>
      <c r="G761" s="6">
        <f>E761-F761</f>
        <v/>
      </c>
      <c r="H761" s="8">
        <f>IFERROR((E761-F761)/E761,"")</f>
        <v/>
      </c>
      <c r="I761" s="6" t="n">
        <v>3247.48</v>
      </c>
    </row>
    <row r="762">
      <c r="A762" t="inlineStr">
        <is>
          <t>Brno</t>
        </is>
      </c>
      <c r="B762" t="inlineStr">
        <is>
          <t>BRN-QLT</t>
        </is>
      </c>
      <c r="C762" t="inlineStr">
        <is>
          <t>Quality</t>
        </is>
      </c>
      <c r="D762" s="7" t="n">
        <v>45292</v>
      </c>
      <c r="E762" s="6" t="n">
        <v>317373.34</v>
      </c>
      <c r="F762" s="6" t="n">
        <v>313755.1</v>
      </c>
      <c r="G762" s="6">
        <f>E762-F762</f>
        <v/>
      </c>
      <c r="H762" s="8">
        <f>IFERROR((E762-F762)/E762,"")</f>
        <v/>
      </c>
      <c r="I762" s="6" t="n">
        <v>3618.24</v>
      </c>
    </row>
    <row r="763">
      <c r="A763" t="inlineStr">
        <is>
          <t>Brno</t>
        </is>
      </c>
      <c r="B763" t="inlineStr">
        <is>
          <t>BRN-QLT</t>
        </is>
      </c>
      <c r="C763" t="inlineStr">
        <is>
          <t>Quality</t>
        </is>
      </c>
      <c r="D763" s="7" t="n">
        <v>45323</v>
      </c>
      <c r="E763" s="6" t="n">
        <v>309315.05</v>
      </c>
      <c r="F763" s="6" t="n">
        <v>318003.59</v>
      </c>
      <c r="G763" s="6">
        <f>E763-F763</f>
        <v/>
      </c>
      <c r="H763" s="8">
        <f>IFERROR((E763-F763)/E763,"")</f>
        <v/>
      </c>
      <c r="I763" s="6" t="n">
        <v>-5070.3</v>
      </c>
    </row>
    <row r="764">
      <c r="A764" t="inlineStr">
        <is>
          <t>Brno</t>
        </is>
      </c>
      <c r="B764" t="inlineStr">
        <is>
          <t>BRN-QLT</t>
        </is>
      </c>
      <c r="C764" t="inlineStr">
        <is>
          <t>Quality</t>
        </is>
      </c>
      <c r="D764" s="7" t="n">
        <v>45352</v>
      </c>
      <c r="E764" s="6" t="n">
        <v>304504.08</v>
      </c>
      <c r="F764" s="6" t="n">
        <v>321679.49</v>
      </c>
      <c r="G764" s="6">
        <f>E764-F764</f>
        <v/>
      </c>
      <c r="H764" s="8">
        <f>IFERROR((E764-F764)/E764,"")</f>
        <v/>
      </c>
      <c r="I764" s="6" t="n">
        <v>-22245.71</v>
      </c>
    </row>
    <row r="765">
      <c r="A765" t="inlineStr">
        <is>
          <t>Brno</t>
        </is>
      </c>
      <c r="B765" t="inlineStr">
        <is>
          <t>BRN-QLT</t>
        </is>
      </c>
      <c r="C765" t="inlineStr">
        <is>
          <t>Quality</t>
        </is>
      </c>
      <c r="D765" s="7" t="n">
        <v>45383</v>
      </c>
      <c r="E765" s="6" t="n">
        <v>299187.42</v>
      </c>
      <c r="F765" s="6" t="n">
        <v>313625.46</v>
      </c>
      <c r="G765" s="6">
        <f>E765-F765</f>
        <v/>
      </c>
      <c r="H765" s="8">
        <f>IFERROR((E765-F765)/E765,"")</f>
        <v/>
      </c>
      <c r="I765" s="6" t="n">
        <v>-36683.75</v>
      </c>
    </row>
    <row r="766">
      <c r="A766" t="inlineStr">
        <is>
          <t>Brno</t>
        </is>
      </c>
      <c r="B766" t="inlineStr">
        <is>
          <t>BRN-QLT</t>
        </is>
      </c>
      <c r="C766" t="inlineStr">
        <is>
          <t>Quality</t>
        </is>
      </c>
      <c r="D766" s="7" t="n">
        <v>45413</v>
      </c>
      <c r="E766" s="6" t="n">
        <v>294086.59</v>
      </c>
      <c r="F766" s="6" t="n">
        <v>311457.11</v>
      </c>
      <c r="G766" s="6">
        <f>E766-F766</f>
        <v/>
      </c>
      <c r="H766" s="8">
        <f>IFERROR((E766-F766)/E766,"")</f>
        <v/>
      </c>
      <c r="I766" s="6" t="n">
        <v>-54054.27</v>
      </c>
    </row>
    <row r="767">
      <c r="A767" t="inlineStr">
        <is>
          <t>Brno</t>
        </is>
      </c>
      <c r="B767" t="inlineStr">
        <is>
          <t>BRN-QLT</t>
        </is>
      </c>
      <c r="C767" t="inlineStr">
        <is>
          <t>Quality</t>
        </is>
      </c>
      <c r="D767" s="7" t="n">
        <v>45444</v>
      </c>
      <c r="E767" s="6" t="n">
        <v>293437.74</v>
      </c>
      <c r="F767" s="6" t="n">
        <v>314866.86</v>
      </c>
      <c r="G767" s="6">
        <f>E767-F767</f>
        <v/>
      </c>
      <c r="H767" s="8">
        <f>IFERROR((E767-F767)/E767,"")</f>
        <v/>
      </c>
      <c r="I767" s="6" t="n">
        <v>-75483.39</v>
      </c>
    </row>
    <row r="768">
      <c r="A768" t="inlineStr">
        <is>
          <t>Brno</t>
        </is>
      </c>
      <c r="B768" t="inlineStr">
        <is>
          <t>BRN-QLT</t>
        </is>
      </c>
      <c r="C768" t="inlineStr">
        <is>
          <t>Quality</t>
        </is>
      </c>
      <c r="D768" s="7" t="n">
        <v>45474</v>
      </c>
      <c r="E768" s="6" t="n">
        <v>296399.51</v>
      </c>
      <c r="F768" s="6" t="n">
        <v>314054.99</v>
      </c>
      <c r="G768" s="6">
        <f>E768-F768</f>
        <v/>
      </c>
      <c r="H768" s="8">
        <f>IFERROR((E768-F768)/E768,"")</f>
        <v/>
      </c>
      <c r="I768" s="6" t="n">
        <v>-93138.87</v>
      </c>
    </row>
    <row r="769">
      <c r="A769" t="inlineStr">
        <is>
          <t>Brno</t>
        </is>
      </c>
      <c r="B769" t="inlineStr">
        <is>
          <t>BRN-QLT</t>
        </is>
      </c>
      <c r="C769" t="inlineStr">
        <is>
          <t>Quality</t>
        </is>
      </c>
      <c r="D769" s="7" t="n">
        <v>45505</v>
      </c>
      <c r="E769" s="6" t="n">
        <v>300417.11</v>
      </c>
      <c r="F769" s="6" t="n">
        <v>321215.29</v>
      </c>
      <c r="G769" s="6">
        <f>E769-F769</f>
        <v/>
      </c>
      <c r="H769" s="8">
        <f>IFERROR((E769-F769)/E769,"")</f>
        <v/>
      </c>
      <c r="I769" s="6" t="n">
        <v>-113937.05</v>
      </c>
    </row>
    <row r="770">
      <c r="A770" t="inlineStr">
        <is>
          <t>Brno</t>
        </is>
      </c>
      <c r="B770" t="inlineStr">
        <is>
          <t>BRN-QLT</t>
        </is>
      </c>
      <c r="C770" t="inlineStr">
        <is>
          <t>Quality</t>
        </is>
      </c>
      <c r="D770" s="7" t="n">
        <v>45536</v>
      </c>
      <c r="E770" s="6" t="n">
        <v>300783.41</v>
      </c>
      <c r="F770" s="6" t="n">
        <v>311536.09</v>
      </c>
      <c r="G770" s="6">
        <f>E770-F770</f>
        <v/>
      </c>
      <c r="H770" s="8">
        <f>IFERROR((E770-F770)/E770,"")</f>
        <v/>
      </c>
      <c r="I770" s="6" t="n">
        <v>-124689.73</v>
      </c>
    </row>
    <row r="771">
      <c r="A771" t="inlineStr">
        <is>
          <t>Brno</t>
        </is>
      </c>
      <c r="B771" t="inlineStr">
        <is>
          <t>BRN-QLT</t>
        </is>
      </c>
      <c r="C771" t="inlineStr">
        <is>
          <t>Quality</t>
        </is>
      </c>
      <c r="D771" s="7" t="n">
        <v>45566</v>
      </c>
      <c r="E771" s="6" t="n">
        <v>303901.75</v>
      </c>
      <c r="F771" s="6" t="n">
        <v>325314.77</v>
      </c>
      <c r="G771" s="6">
        <f>E771-F771</f>
        <v/>
      </c>
      <c r="H771" s="8">
        <f>IFERROR((E771-F771)/E771,"")</f>
        <v/>
      </c>
      <c r="I771" s="6" t="n">
        <v>-146102.75</v>
      </c>
    </row>
    <row r="772">
      <c r="A772" t="inlineStr">
        <is>
          <t>Brno</t>
        </is>
      </c>
      <c r="B772" t="inlineStr">
        <is>
          <t>BRN-QLT</t>
        </is>
      </c>
      <c r="C772" t="inlineStr">
        <is>
          <t>Quality</t>
        </is>
      </c>
      <c r="D772" s="7" t="n">
        <v>45597</v>
      </c>
      <c r="E772" s="6" t="n">
        <v>300658.39</v>
      </c>
      <c r="F772" s="6" t="n">
        <v>319884.96</v>
      </c>
      <c r="G772" s="6">
        <f>E772-F772</f>
        <v/>
      </c>
      <c r="H772" s="8">
        <f>IFERROR((E772-F772)/E772,"")</f>
        <v/>
      </c>
      <c r="I772" s="6" t="n">
        <v>-165329.32</v>
      </c>
    </row>
    <row r="773">
      <c r="A773" t="inlineStr">
        <is>
          <t>Brno</t>
        </is>
      </c>
      <c r="B773" t="inlineStr">
        <is>
          <t>BRN-QLT</t>
        </is>
      </c>
      <c r="C773" t="inlineStr">
        <is>
          <t>Quality</t>
        </is>
      </c>
      <c r="D773" s="7" t="n">
        <v>45627</v>
      </c>
      <c r="E773" s="6" t="n">
        <v>299739.03</v>
      </c>
      <c r="F773" s="6" t="n">
        <v>310642.39</v>
      </c>
      <c r="G773" s="6">
        <f>E773-F773</f>
        <v/>
      </c>
      <c r="H773" s="8">
        <f>IFERROR((E773-F773)/E773,"")</f>
        <v/>
      </c>
      <c r="I773" s="6" t="n">
        <v>-176232.68</v>
      </c>
    </row>
    <row r="774">
      <c r="A774" t="inlineStr">
        <is>
          <t>Brno</t>
        </is>
      </c>
      <c r="B774" t="inlineStr">
        <is>
          <t>BRN-QLT</t>
        </is>
      </c>
      <c r="C774" t="inlineStr">
        <is>
          <t>Quality</t>
        </is>
      </c>
      <c r="D774" s="7" t="n">
        <v>45658</v>
      </c>
      <c r="E774" s="6" t="n">
        <v>292256.06</v>
      </c>
      <c r="F774" s="6" t="n">
        <v>311436.8</v>
      </c>
      <c r="G774" s="6">
        <f>E774-F774</f>
        <v/>
      </c>
      <c r="H774" s="8">
        <f>IFERROR((E774-F774)/E774,"")</f>
        <v/>
      </c>
      <c r="I774" s="6" t="n">
        <v>-19180.74</v>
      </c>
    </row>
    <row r="775">
      <c r="A775" t="inlineStr">
        <is>
          <t>Brno</t>
        </is>
      </c>
      <c r="B775" t="inlineStr">
        <is>
          <t>BRN-QLT</t>
        </is>
      </c>
      <c r="C775" t="inlineStr">
        <is>
          <t>Quality</t>
        </is>
      </c>
      <c r="D775" s="7" t="n">
        <v>45689</v>
      </c>
      <c r="E775" s="6" t="n">
        <v>287066.39</v>
      </c>
      <c r="F775" s="6" t="n">
        <v>299656.81</v>
      </c>
      <c r="G775" s="6">
        <f>E775-F775</f>
        <v/>
      </c>
      <c r="H775" s="8">
        <f>IFERROR((E775-F775)/E775,"")</f>
        <v/>
      </c>
      <c r="I775" s="6" t="n">
        <v>-31771.16</v>
      </c>
    </row>
    <row r="776">
      <c r="A776" t="inlineStr">
        <is>
          <t>Brno</t>
        </is>
      </c>
      <c r="B776" t="inlineStr">
        <is>
          <t>BRN-QLT</t>
        </is>
      </c>
      <c r="C776" t="inlineStr">
        <is>
          <t>Quality</t>
        </is>
      </c>
      <c r="D776" s="7" t="n">
        <v>45717</v>
      </c>
      <c r="E776" s="6" t="n">
        <v>278714.77</v>
      </c>
      <c r="F776" s="6" t="n">
        <v>308702.91</v>
      </c>
      <c r="G776" s="6">
        <f>E776-F776</f>
        <v/>
      </c>
      <c r="H776" s="8">
        <f>IFERROR((E776-F776)/E776,"")</f>
        <v/>
      </c>
      <c r="I776" s="6" t="n">
        <v>-61759.3</v>
      </c>
    </row>
    <row r="777">
      <c r="A777" t="inlineStr">
        <is>
          <t>Brno</t>
        </is>
      </c>
      <c r="B777" t="inlineStr">
        <is>
          <t>BRN-QLT</t>
        </is>
      </c>
      <c r="C777" t="inlineStr">
        <is>
          <t>Quality</t>
        </is>
      </c>
      <c r="D777" s="7" t="n">
        <v>45748</v>
      </c>
      <c r="E777" s="6" t="n">
        <v>276318.18</v>
      </c>
      <c r="F777" s="6" t="n">
        <v>310691.7</v>
      </c>
      <c r="G777" s="6">
        <f>E777-F777</f>
        <v/>
      </c>
      <c r="H777" s="8">
        <f>IFERROR((E777-F777)/E777,"")</f>
        <v/>
      </c>
      <c r="I777" s="6" t="n">
        <v>-96132.82000000001</v>
      </c>
    </row>
    <row r="778">
      <c r="A778" t="inlineStr">
        <is>
          <t>Brno</t>
        </is>
      </c>
      <c r="B778" t="inlineStr">
        <is>
          <t>BRN-QLT</t>
        </is>
      </c>
      <c r="C778" t="inlineStr">
        <is>
          <t>Quality</t>
        </is>
      </c>
      <c r="D778" s="7" t="n">
        <v>45778</v>
      </c>
      <c r="E778" s="6" t="n">
        <v>270534.42</v>
      </c>
      <c r="F778" s="6" t="n">
        <v>296062.96</v>
      </c>
      <c r="G778" s="6">
        <f>E778-F778</f>
        <v/>
      </c>
      <c r="H778" s="8">
        <f>IFERROR((E778-F778)/E778,"")</f>
        <v/>
      </c>
      <c r="I778" s="6" t="n">
        <v>-121661.36</v>
      </c>
    </row>
    <row r="779">
      <c r="A779" t="inlineStr">
        <is>
          <t>Brno</t>
        </is>
      </c>
      <c r="B779" t="inlineStr">
        <is>
          <t>BRN-QLT</t>
        </is>
      </c>
      <c r="C779" t="inlineStr">
        <is>
          <t>Quality</t>
        </is>
      </c>
      <c r="D779" s="7" t="n">
        <v>45809</v>
      </c>
      <c r="E779" s="6" t="n">
        <v>272241.71</v>
      </c>
      <c r="F779" s="6" t="n">
        <v>294560.6</v>
      </c>
      <c r="G779" s="6">
        <f>E779-F779</f>
        <v/>
      </c>
      <c r="H779" s="8">
        <f>IFERROR((E779-F779)/E779,"")</f>
        <v/>
      </c>
      <c r="I779" s="6" t="n">
        <v>-143980.25</v>
      </c>
    </row>
    <row r="780">
      <c r="A780" t="inlineStr">
        <is>
          <t>Brno</t>
        </is>
      </c>
      <c r="B780" t="inlineStr">
        <is>
          <t>BRN-QLT</t>
        </is>
      </c>
      <c r="C780" t="inlineStr">
        <is>
          <t>Quality</t>
        </is>
      </c>
      <c r="D780" s="7" t="n">
        <v>45839</v>
      </c>
      <c r="E780" s="6" t="n">
        <v>272374.05</v>
      </c>
      <c r="F780" s="6" t="n">
        <v>285021.59</v>
      </c>
      <c r="G780" s="6">
        <f>E780-F780</f>
        <v/>
      </c>
      <c r="H780" s="8">
        <f>IFERROR((E780-F780)/E780,"")</f>
        <v/>
      </c>
      <c r="I780" s="6" t="n">
        <v>-156627.79</v>
      </c>
    </row>
    <row r="781">
      <c r="A781" t="inlineStr">
        <is>
          <t>Brno</t>
        </is>
      </c>
      <c r="B781" t="inlineStr">
        <is>
          <t>BRN-QLT</t>
        </is>
      </c>
      <c r="C781" t="inlineStr">
        <is>
          <t>Quality</t>
        </is>
      </c>
      <c r="D781" s="7" t="n">
        <v>45870</v>
      </c>
      <c r="E781" s="6" t="n">
        <v>273180.83</v>
      </c>
      <c r="F781" s="6" t="n">
        <v>298511.06</v>
      </c>
      <c r="G781" s="6">
        <f>E781-F781</f>
        <v/>
      </c>
      <c r="H781" s="8">
        <f>IFERROR((E781-F781)/E781,"")</f>
        <v/>
      </c>
      <c r="I781" s="6" t="n">
        <v>-181958.02</v>
      </c>
    </row>
    <row r="782">
      <c r="A782" t="inlineStr">
        <is>
          <t>Brno</t>
        </is>
      </c>
      <c r="B782" t="inlineStr">
        <is>
          <t>BRN-QLT</t>
        </is>
      </c>
      <c r="C782" t="inlineStr">
        <is>
          <t>Quality</t>
        </is>
      </c>
      <c r="D782" s="7" t="n">
        <v>45901</v>
      </c>
      <c r="E782" s="6" t="n">
        <v>277125.21</v>
      </c>
      <c r="F782" s="6" t="n">
        <v>302086.72</v>
      </c>
      <c r="G782" s="6">
        <f>E782-F782</f>
        <v/>
      </c>
      <c r="H782" s="8">
        <f>IFERROR((E782-F782)/E782,"")</f>
        <v/>
      </c>
      <c r="I782" s="6" t="n">
        <v>-206919.53</v>
      </c>
    </row>
    <row r="783">
      <c r="A783" t="inlineStr">
        <is>
          <t>Brno</t>
        </is>
      </c>
      <c r="B783" t="inlineStr">
        <is>
          <t>BRN-QLT</t>
        </is>
      </c>
      <c r="C783" t="inlineStr">
        <is>
          <t>Quality</t>
        </is>
      </c>
      <c r="D783" s="7" t="n">
        <v>45931</v>
      </c>
      <c r="E783" s="6" t="n">
        <v>276629.98</v>
      </c>
      <c r="F783" s="6" t="n">
        <v>297510.76</v>
      </c>
      <c r="G783" s="6">
        <f>E783-F783</f>
        <v/>
      </c>
      <c r="H783" s="8">
        <f>IFERROR((E783-F783)/E783,"")</f>
        <v/>
      </c>
      <c r="I783" s="6" t="n">
        <v>-227800.31</v>
      </c>
    </row>
    <row r="784">
      <c r="A784" t="inlineStr">
        <is>
          <t>Brno</t>
        </is>
      </c>
      <c r="B784" t="inlineStr">
        <is>
          <t>BRN-QLT</t>
        </is>
      </c>
      <c r="C784" t="inlineStr">
        <is>
          <t>Quality</t>
        </is>
      </c>
      <c r="D784" s="7" t="n">
        <v>45962</v>
      </c>
      <c r="E784" s="6" t="n">
        <v>276159.91</v>
      </c>
      <c r="F784" s="6" t="n">
        <v>295631.05</v>
      </c>
      <c r="G784" s="6">
        <f>E784-F784</f>
        <v/>
      </c>
      <c r="H784" s="8">
        <f>IFERROR((E784-F784)/E784,"")</f>
        <v/>
      </c>
      <c r="I784" s="6" t="n">
        <v>-247271.45</v>
      </c>
    </row>
    <row r="785">
      <c r="A785" t="inlineStr">
        <is>
          <t>Brno</t>
        </is>
      </c>
      <c r="B785" t="inlineStr">
        <is>
          <t>BRN-QLT</t>
        </is>
      </c>
      <c r="C785" t="inlineStr">
        <is>
          <t>Quality</t>
        </is>
      </c>
      <c r="D785" s="7" t="n">
        <v>45992</v>
      </c>
      <c r="E785" s="6" t="n">
        <v>273968.42</v>
      </c>
      <c r="F785" s="6" t="n">
        <v>302075.82</v>
      </c>
      <c r="G785" s="6">
        <f>E785-F785</f>
        <v/>
      </c>
      <c r="H785" s="8">
        <f>IFERROR((E785-F785)/E785,"")</f>
        <v/>
      </c>
      <c r="I785" s="6" t="n">
        <v>-275378.85</v>
      </c>
    </row>
    <row r="786">
      <c r="A786" t="inlineStr">
        <is>
          <t>Brno</t>
        </is>
      </c>
      <c r="B786" t="inlineStr">
        <is>
          <t>BRN-QLT</t>
        </is>
      </c>
      <c r="C786" t="inlineStr">
        <is>
          <t>Quality</t>
        </is>
      </c>
      <c r="D786" s="7" t="n">
        <v>46023</v>
      </c>
      <c r="E786" s="6" t="n">
        <v>267028.1</v>
      </c>
      <c r="F786" s="6" t="n">
        <v>286157.85</v>
      </c>
      <c r="G786" s="6">
        <f>E786-F786</f>
        <v/>
      </c>
      <c r="H786" s="8">
        <f>IFERROR((E786-F786)/E786,"")</f>
        <v/>
      </c>
      <c r="I786" s="6" t="n">
        <v>-19129.75</v>
      </c>
    </row>
    <row r="787">
      <c r="A787" t="inlineStr">
        <is>
          <t>Brno</t>
        </is>
      </c>
      <c r="B787" t="inlineStr">
        <is>
          <t>BRN-QLT</t>
        </is>
      </c>
      <c r="C787" t="inlineStr">
        <is>
          <t>Quality</t>
        </is>
      </c>
      <c r="D787" s="7" t="n">
        <v>46054</v>
      </c>
      <c r="E787" s="6" t="n">
        <v>261314.04</v>
      </c>
      <c r="F787" s="6" t="n">
        <v>297730.55</v>
      </c>
      <c r="G787" s="6">
        <f>E787-F787</f>
        <v/>
      </c>
      <c r="H787" s="8">
        <f>IFERROR((E787-F787)/E787,"")</f>
        <v/>
      </c>
      <c r="I787" s="6" t="n">
        <v>-55546.26</v>
      </c>
    </row>
    <row r="788">
      <c r="A788" t="inlineStr">
        <is>
          <t>Brno</t>
        </is>
      </c>
      <c r="B788" t="inlineStr">
        <is>
          <t>BRN-QLT</t>
        </is>
      </c>
      <c r="C788" t="inlineStr">
        <is>
          <t>Quality</t>
        </is>
      </c>
      <c r="D788" s="7" t="n">
        <v>46082</v>
      </c>
      <c r="E788" s="6" t="n">
        <v>257224.48</v>
      </c>
      <c r="F788" s="6" t="n">
        <v>291975.97</v>
      </c>
      <c r="G788" s="6">
        <f>E788-F788</f>
        <v/>
      </c>
      <c r="H788" s="8">
        <f>IFERROR((E788-F788)/E788,"")</f>
        <v/>
      </c>
      <c r="I788" s="6" t="n">
        <v>-90297.75</v>
      </c>
    </row>
    <row r="789">
      <c r="A789" t="inlineStr">
        <is>
          <t>Brno</t>
        </is>
      </c>
      <c r="B789" t="inlineStr">
        <is>
          <t>BRN-QLT</t>
        </is>
      </c>
      <c r="C789" t="inlineStr">
        <is>
          <t>Quality</t>
        </is>
      </c>
      <c r="D789" s="7" t="n">
        <v>46113</v>
      </c>
      <c r="E789" s="6" t="n">
        <v>250505.07</v>
      </c>
      <c r="F789" s="6" t="n">
        <v>287731.21</v>
      </c>
      <c r="G789" s="6">
        <f>E789-F789</f>
        <v/>
      </c>
      <c r="H789" s="8">
        <f>IFERROR((E789-F789)/E789,"")</f>
        <v/>
      </c>
      <c r="I789" s="6" t="n">
        <v>-127523.89</v>
      </c>
    </row>
    <row r="790">
      <c r="A790" t="inlineStr">
        <is>
          <t>Brno</t>
        </is>
      </c>
      <c r="B790" t="inlineStr">
        <is>
          <t>BRN-QLT</t>
        </is>
      </c>
      <c r="C790" t="inlineStr">
        <is>
          <t>Quality</t>
        </is>
      </c>
      <c r="D790" s="7" t="n">
        <v>46143</v>
      </c>
      <c r="E790" s="6" t="n">
        <v>249256.45</v>
      </c>
      <c r="F790" s="6" t="n">
        <v>290735.37</v>
      </c>
      <c r="G790" s="6">
        <f>E790-F790</f>
        <v/>
      </c>
      <c r="H790" s="8">
        <f>IFERROR((E790-F790)/E790,"")</f>
        <v/>
      </c>
      <c r="I790" s="6" t="n">
        <v>-169002.81</v>
      </c>
    </row>
    <row r="791">
      <c r="A791" t="inlineStr">
        <is>
          <t>Brno</t>
        </is>
      </c>
      <c r="B791" t="inlineStr">
        <is>
          <t>BRN-QLT</t>
        </is>
      </c>
      <c r="C791" t="inlineStr">
        <is>
          <t>Quality</t>
        </is>
      </c>
      <c r="D791" s="7" t="n">
        <v>46174</v>
      </c>
      <c r="E791" s="6" t="n">
        <v>245512.74</v>
      </c>
      <c r="F791" s="6" t="n">
        <v>288560.42</v>
      </c>
      <c r="G791" s="6">
        <f>E791-F791</f>
        <v/>
      </c>
      <c r="H791" s="8">
        <f>IFERROR((E791-F791)/E791,"")</f>
        <v/>
      </c>
      <c r="I791" s="6" t="n">
        <v>-212050.49</v>
      </c>
    </row>
    <row r="792">
      <c r="A792" t="inlineStr">
        <is>
          <t>Brno</t>
        </is>
      </c>
      <c r="B792" t="inlineStr">
        <is>
          <t>BRN-QLT</t>
        </is>
      </c>
      <c r="C792" t="inlineStr">
        <is>
          <t>Quality</t>
        </is>
      </c>
      <c r="D792" s="7" t="n">
        <v>46204</v>
      </c>
      <c r="E792" s="6" t="n">
        <v>246395.11</v>
      </c>
      <c r="F792" s="6" t="n">
        <v>277388.65</v>
      </c>
      <c r="G792" s="6">
        <f>E792-F792</f>
        <v/>
      </c>
      <c r="H792" s="8">
        <f>IFERROR((E792-F792)/E792,"")</f>
        <v/>
      </c>
      <c r="I792" s="6" t="n">
        <v>-243044.03</v>
      </c>
    </row>
    <row r="793">
      <c r="A793" t="inlineStr">
        <is>
          <t>Brno</t>
        </is>
      </c>
      <c r="B793" t="inlineStr">
        <is>
          <t>BRN-QLT</t>
        </is>
      </c>
      <c r="C793" t="inlineStr">
        <is>
          <t>Quality</t>
        </is>
      </c>
      <c r="D793" s="7" t="n">
        <v>46235</v>
      </c>
      <c r="E793" s="6" t="n">
        <v>249275.74</v>
      </c>
      <c r="F793" s="6" t="n">
        <v>271113.26</v>
      </c>
      <c r="G793" s="6">
        <f>E793-F793</f>
        <v/>
      </c>
      <c r="H793" s="8">
        <f>IFERROR((E793-F793)/E793,"")</f>
        <v/>
      </c>
      <c r="I793" s="6" t="n">
        <v>-264881.55</v>
      </c>
    </row>
    <row r="794">
      <c r="A794" t="inlineStr">
        <is>
          <t>Brno</t>
        </is>
      </c>
      <c r="B794" t="inlineStr">
        <is>
          <t>BRN-SCM</t>
        </is>
      </c>
      <c r="C794" t="inlineStr">
        <is>
          <t>Supply Chain</t>
        </is>
      </c>
      <c r="D794" s="7" t="n">
        <v>45170</v>
      </c>
      <c r="E794" s="6" t="n">
        <v>353986.57</v>
      </c>
      <c r="F794" s="6" t="n">
        <v>384113.83</v>
      </c>
      <c r="G794" s="6">
        <f>E794-F794</f>
        <v/>
      </c>
      <c r="H794" s="8">
        <f>IFERROR((E794-F794)/E794,"")</f>
        <v/>
      </c>
      <c r="I794" s="6" t="n">
        <v>-30127.26</v>
      </c>
    </row>
    <row r="795">
      <c r="A795" t="inlineStr">
        <is>
          <t>Brno</t>
        </is>
      </c>
      <c r="B795" t="inlineStr">
        <is>
          <t>BRN-SCM</t>
        </is>
      </c>
      <c r="C795" t="inlineStr">
        <is>
          <t>Supply Chain</t>
        </is>
      </c>
      <c r="D795" s="7" t="n">
        <v>45200</v>
      </c>
      <c r="E795" s="6" t="n">
        <v>356544.4</v>
      </c>
      <c r="F795" s="6" t="n">
        <v>380393.5</v>
      </c>
      <c r="G795" s="6">
        <f>E795-F795</f>
        <v/>
      </c>
      <c r="H795" s="8">
        <f>IFERROR((E795-F795)/E795,"")</f>
        <v/>
      </c>
      <c r="I795" s="6" t="n">
        <v>-53976.36</v>
      </c>
    </row>
    <row r="796">
      <c r="A796" t="inlineStr">
        <is>
          <t>Brno</t>
        </is>
      </c>
      <c r="B796" t="inlineStr">
        <is>
          <t>BRN-SCM</t>
        </is>
      </c>
      <c r="C796" t="inlineStr">
        <is>
          <t>Supply Chain</t>
        </is>
      </c>
      <c r="D796" s="7" t="n">
        <v>45231</v>
      </c>
      <c r="E796" s="6" t="n">
        <v>356156.79</v>
      </c>
      <c r="F796" s="6" t="n">
        <v>385373.72</v>
      </c>
      <c r="G796" s="6">
        <f>E796-F796</f>
        <v/>
      </c>
      <c r="H796" s="8">
        <f>IFERROR((E796-F796)/E796,"")</f>
        <v/>
      </c>
      <c r="I796" s="6" t="n">
        <v>-83193.28999999999</v>
      </c>
    </row>
    <row r="797">
      <c r="A797" t="inlineStr">
        <is>
          <t>Brno</t>
        </is>
      </c>
      <c r="B797" t="inlineStr">
        <is>
          <t>BRN-SCM</t>
        </is>
      </c>
      <c r="C797" t="inlineStr">
        <is>
          <t>Supply Chain</t>
        </is>
      </c>
      <c r="D797" s="7" t="n">
        <v>45261</v>
      </c>
      <c r="E797" s="6" t="n">
        <v>350279.92</v>
      </c>
      <c r="F797" s="6" t="n">
        <v>388421.09</v>
      </c>
      <c r="G797" s="6">
        <f>E797-F797</f>
        <v/>
      </c>
      <c r="H797" s="8">
        <f>IFERROR((E797-F797)/E797,"")</f>
        <v/>
      </c>
      <c r="I797" s="6" t="n">
        <v>-121334.46</v>
      </c>
    </row>
    <row r="798">
      <c r="A798" t="inlineStr">
        <is>
          <t>Brno</t>
        </is>
      </c>
      <c r="B798" t="inlineStr">
        <is>
          <t>BRN-SCM</t>
        </is>
      </c>
      <c r="C798" t="inlineStr">
        <is>
          <t>Supply Chain</t>
        </is>
      </c>
      <c r="D798" s="7" t="n">
        <v>45292</v>
      </c>
      <c r="E798" s="6" t="n">
        <v>341267.46</v>
      </c>
      <c r="F798" s="6" t="n">
        <v>383490.68</v>
      </c>
      <c r="G798" s="6">
        <f>E798-F798</f>
        <v/>
      </c>
      <c r="H798" s="8">
        <f>IFERROR((E798-F798)/E798,"")</f>
        <v/>
      </c>
      <c r="I798" s="6" t="n">
        <v>-42223.22</v>
      </c>
    </row>
    <row r="799">
      <c r="A799" t="inlineStr">
        <is>
          <t>Brno</t>
        </is>
      </c>
      <c r="B799" t="inlineStr">
        <is>
          <t>BRN-SCM</t>
        </is>
      </c>
      <c r="C799" t="inlineStr">
        <is>
          <t>Supply Chain</t>
        </is>
      </c>
      <c r="D799" s="7" t="n">
        <v>45323</v>
      </c>
      <c r="E799" s="6" t="n">
        <v>335373.26</v>
      </c>
      <c r="F799" s="6" t="n">
        <v>364858.65</v>
      </c>
      <c r="G799" s="6">
        <f>E799-F799</f>
        <v/>
      </c>
      <c r="H799" s="8">
        <f>IFERROR((E799-F799)/E799,"")</f>
        <v/>
      </c>
      <c r="I799" s="6" t="n">
        <v>-71708.61</v>
      </c>
    </row>
    <row r="800">
      <c r="A800" t="inlineStr">
        <is>
          <t>Brno</t>
        </is>
      </c>
      <c r="B800" t="inlineStr">
        <is>
          <t>BRN-SCM</t>
        </is>
      </c>
      <c r="C800" t="inlineStr">
        <is>
          <t>Supply Chain</t>
        </is>
      </c>
      <c r="D800" s="7" t="n">
        <v>45352</v>
      </c>
      <c r="E800" s="6" t="n">
        <v>329324.76</v>
      </c>
      <c r="F800" s="6" t="n">
        <v>364763.76</v>
      </c>
      <c r="G800" s="6">
        <f>E800-F800</f>
        <v/>
      </c>
      <c r="H800" s="8">
        <f>IFERROR((E800-F800)/E800,"")</f>
        <v/>
      </c>
      <c r="I800" s="6" t="n">
        <v>-107147.61</v>
      </c>
    </row>
    <row r="801">
      <c r="A801" t="inlineStr">
        <is>
          <t>Brno</t>
        </is>
      </c>
      <c r="B801" t="inlineStr">
        <is>
          <t>BRN-SCM</t>
        </is>
      </c>
      <c r="C801" t="inlineStr">
        <is>
          <t>Supply Chain</t>
        </is>
      </c>
      <c r="D801" s="7" t="n">
        <v>45383</v>
      </c>
      <c r="E801" s="6" t="n">
        <v>324015.23</v>
      </c>
      <c r="F801" s="6" t="n">
        <v>368988.44</v>
      </c>
      <c r="G801" s="6">
        <f>E801-F801</f>
        <v/>
      </c>
      <c r="H801" s="8">
        <f>IFERROR((E801-F801)/E801,"")</f>
        <v/>
      </c>
      <c r="I801" s="6" t="n">
        <v>-152120.82</v>
      </c>
    </row>
    <row r="802">
      <c r="A802" t="inlineStr">
        <is>
          <t>Brno</t>
        </is>
      </c>
      <c r="B802" t="inlineStr">
        <is>
          <t>BRN-SCM</t>
        </is>
      </c>
      <c r="C802" t="inlineStr">
        <is>
          <t>Supply Chain</t>
        </is>
      </c>
      <c r="D802" s="7" t="n">
        <v>45413</v>
      </c>
      <c r="E802" s="6" t="n">
        <v>317953.2</v>
      </c>
      <c r="F802" s="6" t="n">
        <v>343731.5</v>
      </c>
      <c r="G802" s="6">
        <f>E802-F802</f>
        <v/>
      </c>
      <c r="H802" s="8">
        <f>IFERROR((E802-F802)/E802,"")</f>
        <v/>
      </c>
      <c r="I802" s="6" t="n">
        <v>-177899.12</v>
      </c>
    </row>
    <row r="803">
      <c r="A803" t="inlineStr">
        <is>
          <t>Brno</t>
        </is>
      </c>
      <c r="B803" t="inlineStr">
        <is>
          <t>BRN-SCM</t>
        </is>
      </c>
      <c r="C803" t="inlineStr">
        <is>
          <t>Supply Chain</t>
        </is>
      </c>
      <c r="D803" s="7" t="n">
        <v>45444</v>
      </c>
      <c r="E803" s="6" t="n">
        <v>318249.83</v>
      </c>
      <c r="F803" s="6" t="n">
        <v>356002.83</v>
      </c>
      <c r="G803" s="6">
        <f>E803-F803</f>
        <v/>
      </c>
      <c r="H803" s="8">
        <f>IFERROR((E803-F803)/E803,"")</f>
        <v/>
      </c>
      <c r="I803" s="6" t="n">
        <v>-215652.12</v>
      </c>
    </row>
    <row r="804">
      <c r="A804" t="inlineStr">
        <is>
          <t>Brno</t>
        </is>
      </c>
      <c r="B804" t="inlineStr">
        <is>
          <t>BRN-SCM</t>
        </is>
      </c>
      <c r="C804" t="inlineStr">
        <is>
          <t>Supply Chain</t>
        </is>
      </c>
      <c r="D804" s="7" t="n">
        <v>45474</v>
      </c>
      <c r="E804" s="6" t="n">
        <v>323932.94</v>
      </c>
      <c r="F804" s="6" t="n">
        <v>356819.78</v>
      </c>
      <c r="G804" s="6">
        <f>E804-F804</f>
        <v/>
      </c>
      <c r="H804" s="8">
        <f>IFERROR((E804-F804)/E804,"")</f>
        <v/>
      </c>
      <c r="I804" s="6" t="n">
        <v>-248538.96</v>
      </c>
    </row>
    <row r="805">
      <c r="A805" t="inlineStr">
        <is>
          <t>Brno</t>
        </is>
      </c>
      <c r="B805" t="inlineStr">
        <is>
          <t>BRN-SCM</t>
        </is>
      </c>
      <c r="C805" t="inlineStr">
        <is>
          <t>Supply Chain</t>
        </is>
      </c>
      <c r="D805" s="7" t="n">
        <v>45505</v>
      </c>
      <c r="E805" s="6" t="n">
        <v>322414.33</v>
      </c>
      <c r="F805" s="6" t="n">
        <v>360975.88</v>
      </c>
      <c r="G805" s="6">
        <f>E805-F805</f>
        <v/>
      </c>
      <c r="H805" s="8">
        <f>IFERROR((E805-F805)/E805,"")</f>
        <v/>
      </c>
      <c r="I805" s="6" t="n">
        <v>-287100.51</v>
      </c>
    </row>
    <row r="806">
      <c r="A806" t="inlineStr">
        <is>
          <t>Brno</t>
        </is>
      </c>
      <c r="B806" t="inlineStr">
        <is>
          <t>BRN-SCM</t>
        </is>
      </c>
      <c r="C806" t="inlineStr">
        <is>
          <t>Supply Chain</t>
        </is>
      </c>
      <c r="D806" s="7" t="n">
        <v>45536</v>
      </c>
      <c r="E806" s="6" t="n">
        <v>326475.48</v>
      </c>
      <c r="F806" s="6" t="n">
        <v>375545.14</v>
      </c>
      <c r="G806" s="6">
        <f>E806-F806</f>
        <v/>
      </c>
      <c r="H806" s="8">
        <f>IFERROR((E806-F806)/E806,"")</f>
        <v/>
      </c>
      <c r="I806" s="6" t="n">
        <v>-336170.17</v>
      </c>
    </row>
    <row r="807">
      <c r="A807" t="inlineStr">
        <is>
          <t>Brno</t>
        </is>
      </c>
      <c r="B807" t="inlineStr">
        <is>
          <t>BRN-SCM</t>
        </is>
      </c>
      <c r="C807" t="inlineStr">
        <is>
          <t>Supply Chain</t>
        </is>
      </c>
      <c r="D807" s="7" t="n">
        <v>45566</v>
      </c>
      <c r="E807" s="6" t="n">
        <v>329166.16</v>
      </c>
      <c r="F807" s="6" t="n">
        <v>365052.76</v>
      </c>
      <c r="G807" s="6">
        <f>E807-F807</f>
        <v/>
      </c>
      <c r="H807" s="8">
        <f>IFERROR((E807-F807)/E807,"")</f>
        <v/>
      </c>
      <c r="I807" s="6" t="n">
        <v>-372056.77</v>
      </c>
    </row>
    <row r="808">
      <c r="A808" t="inlineStr">
        <is>
          <t>Brno</t>
        </is>
      </c>
      <c r="B808" t="inlineStr">
        <is>
          <t>BRN-SCM</t>
        </is>
      </c>
      <c r="C808" t="inlineStr">
        <is>
          <t>Supply Chain</t>
        </is>
      </c>
      <c r="D808" s="7" t="n">
        <v>45597</v>
      </c>
      <c r="E808" s="6" t="n">
        <v>329485.11</v>
      </c>
      <c r="F808" s="6" t="n">
        <v>381205.23</v>
      </c>
      <c r="G808" s="6">
        <f>E808-F808</f>
        <v/>
      </c>
      <c r="H808" s="8">
        <f>IFERROR((E808-F808)/E808,"")</f>
        <v/>
      </c>
      <c r="I808" s="6" t="n">
        <v>-423776.89</v>
      </c>
    </row>
    <row r="809">
      <c r="A809" t="inlineStr">
        <is>
          <t>Brno</t>
        </is>
      </c>
      <c r="B809" t="inlineStr">
        <is>
          <t>BRN-SCM</t>
        </is>
      </c>
      <c r="C809" t="inlineStr">
        <is>
          <t>Supply Chain</t>
        </is>
      </c>
      <c r="D809" s="7" t="n">
        <v>45627</v>
      </c>
      <c r="E809" s="6" t="n">
        <v>325440.82</v>
      </c>
      <c r="F809" s="6" t="n">
        <v>357243.99</v>
      </c>
      <c r="G809" s="6">
        <f>E809-F809</f>
        <v/>
      </c>
      <c r="H809" s="8">
        <f>IFERROR((E809-F809)/E809,"")</f>
        <v/>
      </c>
      <c r="I809" s="6" t="n">
        <v>-455580.06</v>
      </c>
    </row>
    <row r="810">
      <c r="A810" t="inlineStr">
        <is>
          <t>Brno</t>
        </is>
      </c>
      <c r="B810" t="inlineStr">
        <is>
          <t>BRN-SCM</t>
        </is>
      </c>
      <c r="C810" t="inlineStr">
        <is>
          <t>Supply Chain</t>
        </is>
      </c>
      <c r="D810" s="7" t="n">
        <v>45658</v>
      </c>
      <c r="E810" s="6" t="n">
        <v>315283.32</v>
      </c>
      <c r="F810" s="6" t="n">
        <v>360867.39</v>
      </c>
      <c r="G810" s="6">
        <f>E810-F810</f>
        <v/>
      </c>
      <c r="H810" s="8">
        <f>IFERROR((E810-F810)/E810,"")</f>
        <v/>
      </c>
      <c r="I810" s="6" t="n">
        <v>-45584.07</v>
      </c>
    </row>
    <row r="811">
      <c r="A811" t="inlineStr">
        <is>
          <t>Brno</t>
        </is>
      </c>
      <c r="B811" t="inlineStr">
        <is>
          <t>BRN-SCM</t>
        </is>
      </c>
      <c r="C811" t="inlineStr">
        <is>
          <t>Supply Chain</t>
        </is>
      </c>
      <c r="D811" s="7" t="n">
        <v>45689</v>
      </c>
      <c r="E811" s="6" t="n">
        <v>307751.68</v>
      </c>
      <c r="F811" s="6" t="n">
        <v>348398.26</v>
      </c>
      <c r="G811" s="6">
        <f>E811-F811</f>
        <v/>
      </c>
      <c r="H811" s="8">
        <f>IFERROR((E811-F811)/E811,"")</f>
        <v/>
      </c>
      <c r="I811" s="6" t="n">
        <v>-86230.64999999999</v>
      </c>
    </row>
    <row r="812">
      <c r="A812" t="inlineStr">
        <is>
          <t>Brno</t>
        </is>
      </c>
      <c r="B812" t="inlineStr">
        <is>
          <t>BRN-SCM</t>
        </is>
      </c>
      <c r="C812" t="inlineStr">
        <is>
          <t>Supply Chain</t>
        </is>
      </c>
      <c r="D812" s="7" t="n">
        <v>45717</v>
      </c>
      <c r="E812" s="6" t="n">
        <v>302936.82</v>
      </c>
      <c r="F812" s="6" t="n">
        <v>338345.93</v>
      </c>
      <c r="G812" s="6">
        <f>E812-F812</f>
        <v/>
      </c>
      <c r="H812" s="8">
        <f>IFERROR((E812-F812)/E812,"")</f>
        <v/>
      </c>
      <c r="I812" s="6" t="n">
        <v>-121639.76</v>
      </c>
    </row>
    <row r="813">
      <c r="A813" t="inlineStr">
        <is>
          <t>Brno</t>
        </is>
      </c>
      <c r="B813" t="inlineStr">
        <is>
          <t>BRN-SCM</t>
        </is>
      </c>
      <c r="C813" t="inlineStr">
        <is>
          <t>Supply Chain</t>
        </is>
      </c>
      <c r="D813" s="7" t="n">
        <v>45748</v>
      </c>
      <c r="E813" s="6" t="n">
        <v>298850.1</v>
      </c>
      <c r="F813" s="6" t="n">
        <v>343240.26</v>
      </c>
      <c r="G813" s="6">
        <f>E813-F813</f>
        <v/>
      </c>
      <c r="H813" s="8">
        <f>IFERROR((E813-F813)/E813,"")</f>
        <v/>
      </c>
      <c r="I813" s="6" t="n">
        <v>-166029.92</v>
      </c>
    </row>
    <row r="814">
      <c r="A814" t="inlineStr">
        <is>
          <t>Brno</t>
        </is>
      </c>
      <c r="B814" t="inlineStr">
        <is>
          <t>BRN-SCM</t>
        </is>
      </c>
      <c r="C814" t="inlineStr">
        <is>
          <t>Supply Chain</t>
        </is>
      </c>
      <c r="D814" s="7" t="n">
        <v>45778</v>
      </c>
      <c r="E814" s="6" t="n">
        <v>296465.25</v>
      </c>
      <c r="F814" s="6" t="n">
        <v>336674.74</v>
      </c>
      <c r="G814" s="6">
        <f>E814-F814</f>
        <v/>
      </c>
      <c r="H814" s="8">
        <f>IFERROR((E814-F814)/E814,"")</f>
        <v/>
      </c>
      <c r="I814" s="6" t="n">
        <v>-206239.41</v>
      </c>
    </row>
    <row r="815">
      <c r="A815" t="inlineStr">
        <is>
          <t>Brno</t>
        </is>
      </c>
      <c r="B815" t="inlineStr">
        <is>
          <t>BRN-SCM</t>
        </is>
      </c>
      <c r="C815" t="inlineStr">
        <is>
          <t>Supply Chain</t>
        </is>
      </c>
      <c r="D815" s="7" t="n">
        <v>45809</v>
      </c>
      <c r="E815" s="6" t="n">
        <v>292910.2</v>
      </c>
      <c r="F815" s="6" t="n">
        <v>335269.26</v>
      </c>
      <c r="G815" s="6">
        <f>E815-F815</f>
        <v/>
      </c>
      <c r="H815" s="8">
        <f>IFERROR((E815-F815)/E815,"")</f>
        <v/>
      </c>
      <c r="I815" s="6" t="n">
        <v>-248598.47</v>
      </c>
    </row>
    <row r="816">
      <c r="A816" t="inlineStr">
        <is>
          <t>Brno</t>
        </is>
      </c>
      <c r="B816" t="inlineStr">
        <is>
          <t>BRN-SCM</t>
        </is>
      </c>
      <c r="C816" t="inlineStr">
        <is>
          <t>Supply Chain</t>
        </is>
      </c>
      <c r="D816" s="7" t="n">
        <v>45839</v>
      </c>
      <c r="E816" s="6" t="n">
        <v>297769.62</v>
      </c>
      <c r="F816" s="6" t="n">
        <v>340202.52</v>
      </c>
      <c r="G816" s="6">
        <f>E816-F816</f>
        <v/>
      </c>
      <c r="H816" s="8">
        <f>IFERROR((E816-F816)/E816,"")</f>
        <v/>
      </c>
      <c r="I816" s="6" t="n">
        <v>-291031.37</v>
      </c>
    </row>
    <row r="817">
      <c r="A817" t="inlineStr">
        <is>
          <t>Brno</t>
        </is>
      </c>
      <c r="B817" t="inlineStr">
        <is>
          <t>BRN-SCM</t>
        </is>
      </c>
      <c r="C817" t="inlineStr">
        <is>
          <t>Supply Chain</t>
        </is>
      </c>
      <c r="D817" s="7" t="n">
        <v>45870</v>
      </c>
      <c r="E817" s="6" t="n">
        <v>298018.99</v>
      </c>
      <c r="F817" s="6" t="n">
        <v>343315.2</v>
      </c>
      <c r="G817" s="6">
        <f>E817-F817</f>
        <v/>
      </c>
      <c r="H817" s="8">
        <f>IFERROR((E817-F817)/E817,"")</f>
        <v/>
      </c>
      <c r="I817" s="6" t="n">
        <v>-336327.58</v>
      </c>
    </row>
    <row r="818">
      <c r="A818" t="inlineStr">
        <is>
          <t>Brno</t>
        </is>
      </c>
      <c r="B818" t="inlineStr">
        <is>
          <t>BRN-SCM</t>
        </is>
      </c>
      <c r="C818" t="inlineStr">
        <is>
          <t>Supply Chain</t>
        </is>
      </c>
      <c r="D818" s="7" t="n">
        <v>45901</v>
      </c>
      <c r="E818" s="6" t="n">
        <v>300914.94</v>
      </c>
      <c r="F818" s="6" t="n">
        <v>348192.82</v>
      </c>
      <c r="G818" s="6">
        <f>E818-F818</f>
        <v/>
      </c>
      <c r="H818" s="8">
        <f>IFERROR((E818-F818)/E818,"")</f>
        <v/>
      </c>
      <c r="I818" s="6" t="n">
        <v>-383605.46</v>
      </c>
    </row>
    <row r="819">
      <c r="A819" t="inlineStr">
        <is>
          <t>Brno</t>
        </is>
      </c>
      <c r="B819" t="inlineStr">
        <is>
          <t>BRN-SCM</t>
        </is>
      </c>
      <c r="C819" t="inlineStr">
        <is>
          <t>Supply Chain</t>
        </is>
      </c>
      <c r="D819" s="7" t="n">
        <v>45931</v>
      </c>
      <c r="E819" s="6" t="n">
        <v>300065.13</v>
      </c>
      <c r="F819" s="6" t="n">
        <v>337086.51</v>
      </c>
      <c r="G819" s="6">
        <f>E819-F819</f>
        <v/>
      </c>
      <c r="H819" s="8">
        <f>IFERROR((E819-F819)/E819,"")</f>
        <v/>
      </c>
      <c r="I819" s="6" t="n">
        <v>-420626.84</v>
      </c>
    </row>
    <row r="820">
      <c r="A820" t="inlineStr">
        <is>
          <t>Brno</t>
        </is>
      </c>
      <c r="B820" t="inlineStr">
        <is>
          <t>BRN-SCM</t>
        </is>
      </c>
      <c r="C820" t="inlineStr">
        <is>
          <t>Supply Chain</t>
        </is>
      </c>
      <c r="D820" s="7" t="n">
        <v>45962</v>
      </c>
      <c r="E820" s="6" t="n">
        <v>299115.34</v>
      </c>
      <c r="F820" s="6" t="n">
        <v>324076.12</v>
      </c>
      <c r="G820" s="6">
        <f>E820-F820</f>
        <v/>
      </c>
      <c r="H820" s="8">
        <f>IFERROR((E820-F820)/E820,"")</f>
        <v/>
      </c>
      <c r="I820" s="6" t="n">
        <v>-445587.62</v>
      </c>
    </row>
    <row r="821">
      <c r="A821" t="inlineStr">
        <is>
          <t>Brno</t>
        </is>
      </c>
      <c r="B821" t="inlineStr">
        <is>
          <t>BRN-SCM</t>
        </is>
      </c>
      <c r="C821" t="inlineStr">
        <is>
          <t>Supply Chain</t>
        </is>
      </c>
      <c r="D821" s="7" t="n">
        <v>45992</v>
      </c>
      <c r="E821" s="6" t="n">
        <v>295699.2</v>
      </c>
      <c r="F821" s="6" t="n">
        <v>329169.35</v>
      </c>
      <c r="G821" s="6">
        <f>E821-F821</f>
        <v/>
      </c>
      <c r="H821" s="8">
        <f>IFERROR((E821-F821)/E821,"")</f>
        <v/>
      </c>
      <c r="I821" s="6" t="n">
        <v>-479057.77</v>
      </c>
    </row>
    <row r="822">
      <c r="A822" t="inlineStr">
        <is>
          <t>Brno</t>
        </is>
      </c>
      <c r="B822" t="inlineStr">
        <is>
          <t>BRN-SCM</t>
        </is>
      </c>
      <c r="C822" t="inlineStr">
        <is>
          <t>Supply Chain</t>
        </is>
      </c>
      <c r="D822" s="7" t="n">
        <v>46023</v>
      </c>
      <c r="E822" s="6" t="n">
        <v>291195.1</v>
      </c>
      <c r="F822" s="6" t="n">
        <v>325441.3</v>
      </c>
      <c r="G822" s="6">
        <f>E822-F822</f>
        <v/>
      </c>
      <c r="H822" s="8">
        <f>IFERROR((E822-F822)/E822,"")</f>
        <v/>
      </c>
      <c r="I822" s="6" t="n">
        <v>-34246.2</v>
      </c>
    </row>
    <row r="823">
      <c r="A823" t="inlineStr">
        <is>
          <t>Brno</t>
        </is>
      </c>
      <c r="B823" t="inlineStr">
        <is>
          <t>BRN-SCM</t>
        </is>
      </c>
      <c r="C823" t="inlineStr">
        <is>
          <t>Supply Chain</t>
        </is>
      </c>
      <c r="D823" s="7" t="n">
        <v>46054</v>
      </c>
      <c r="E823" s="6" t="n">
        <v>286146.24</v>
      </c>
      <c r="F823" s="6" t="n">
        <v>311101.66</v>
      </c>
      <c r="G823" s="6">
        <f>E823-F823</f>
        <v/>
      </c>
      <c r="H823" s="8">
        <f>IFERROR((E823-F823)/E823,"")</f>
        <v/>
      </c>
      <c r="I823" s="6" t="n">
        <v>-59201.62</v>
      </c>
    </row>
    <row r="824">
      <c r="A824" t="inlineStr">
        <is>
          <t>Brno</t>
        </is>
      </c>
      <c r="B824" t="inlineStr">
        <is>
          <t>BRN-SCM</t>
        </is>
      </c>
      <c r="C824" t="inlineStr">
        <is>
          <t>Supply Chain</t>
        </is>
      </c>
      <c r="D824" s="7" t="n">
        <v>46082</v>
      </c>
      <c r="E824" s="6" t="n">
        <v>279599.97</v>
      </c>
      <c r="F824" s="6" t="n">
        <v>308950.57</v>
      </c>
      <c r="G824" s="6">
        <f>E824-F824</f>
        <v/>
      </c>
      <c r="H824" s="8">
        <f>IFERROR((E824-F824)/E824,"")</f>
        <v/>
      </c>
      <c r="I824" s="6" t="n">
        <v>-88552.22</v>
      </c>
    </row>
    <row r="825">
      <c r="A825" t="inlineStr">
        <is>
          <t>Brno</t>
        </is>
      </c>
      <c r="B825" t="inlineStr">
        <is>
          <t>BRN-SCM</t>
        </is>
      </c>
      <c r="C825" t="inlineStr">
        <is>
          <t>Supply Chain</t>
        </is>
      </c>
      <c r="D825" s="7" t="n">
        <v>46113</v>
      </c>
      <c r="E825" s="6" t="n">
        <v>271075.41</v>
      </c>
      <c r="F825" s="6" t="n">
        <v>309753.49</v>
      </c>
      <c r="G825" s="6">
        <f>E825-F825</f>
        <v/>
      </c>
      <c r="H825" s="8">
        <f>IFERROR((E825-F825)/E825,"")</f>
        <v/>
      </c>
      <c r="I825" s="6" t="n">
        <v>-127230.3</v>
      </c>
    </row>
    <row r="826">
      <c r="A826" t="inlineStr">
        <is>
          <t>Brno</t>
        </is>
      </c>
      <c r="B826" t="inlineStr">
        <is>
          <t>BRN-SCM</t>
        </is>
      </c>
      <c r="C826" t="inlineStr">
        <is>
          <t>Supply Chain</t>
        </is>
      </c>
      <c r="D826" s="7" t="n">
        <v>46143</v>
      </c>
      <c r="E826" s="6" t="n">
        <v>266242.72</v>
      </c>
      <c r="F826" s="6" t="n">
        <v>308814.52</v>
      </c>
      <c r="G826" s="6">
        <f>E826-F826</f>
        <v/>
      </c>
      <c r="H826" s="8">
        <f>IFERROR((E826-F826)/E826,"")</f>
        <v/>
      </c>
      <c r="I826" s="6" t="n">
        <v>-169802.1</v>
      </c>
    </row>
    <row r="827">
      <c r="A827" t="inlineStr">
        <is>
          <t>Brno</t>
        </is>
      </c>
      <c r="B827" t="inlineStr">
        <is>
          <t>BRN-SCM</t>
        </is>
      </c>
      <c r="C827" t="inlineStr">
        <is>
          <t>Supply Chain</t>
        </is>
      </c>
      <c r="D827" s="7" t="n">
        <v>46174</v>
      </c>
      <c r="E827" s="6" t="n">
        <v>268462.84</v>
      </c>
      <c r="F827" s="6" t="n">
        <v>302331.27</v>
      </c>
      <c r="G827" s="6">
        <f>E827-F827</f>
        <v/>
      </c>
      <c r="H827" s="8">
        <f>IFERROR((E827-F827)/E827,"")</f>
        <v/>
      </c>
      <c r="I827" s="6" t="n">
        <v>-203670.53</v>
      </c>
    </row>
    <row r="828">
      <c r="A828" t="inlineStr">
        <is>
          <t>Brno</t>
        </is>
      </c>
      <c r="B828" t="inlineStr">
        <is>
          <t>BRN-SCM</t>
        </is>
      </c>
      <c r="C828" t="inlineStr">
        <is>
          <t>Supply Chain</t>
        </is>
      </c>
      <c r="D828" s="7" t="n">
        <v>46204</v>
      </c>
      <c r="E828" s="6" t="n">
        <v>267020.98</v>
      </c>
      <c r="F828" s="6" t="n">
        <v>315864.36</v>
      </c>
      <c r="G828" s="6">
        <f>E828-F828</f>
        <v/>
      </c>
      <c r="H828" s="8">
        <f>IFERROR((E828-F828)/E828,"")</f>
        <v/>
      </c>
      <c r="I828" s="6" t="n">
        <v>-252513.91</v>
      </c>
    </row>
    <row r="829">
      <c r="A829" t="inlineStr">
        <is>
          <t>Brno</t>
        </is>
      </c>
      <c r="B829" t="inlineStr">
        <is>
          <t>BRN-SCM</t>
        </is>
      </c>
      <c r="C829" t="inlineStr">
        <is>
          <t>Supply Chain</t>
        </is>
      </c>
      <c r="D829" s="7" t="n">
        <v>46235</v>
      </c>
      <c r="E829" s="6" t="n">
        <v>271877.69</v>
      </c>
      <c r="F829" s="6" t="n">
        <v>327879.63</v>
      </c>
      <c r="G829" s="6">
        <f>E829-F829</f>
        <v/>
      </c>
      <c r="H829" s="8">
        <f>IFERROR((E829-F829)/E829,"")</f>
        <v/>
      </c>
      <c r="I829" s="6" t="n">
        <v>-308515.85</v>
      </c>
    </row>
    <row r="830">
      <c r="A830" t="inlineStr">
        <is>
          <t>Brno</t>
        </is>
      </c>
      <c r="B830" t="inlineStr">
        <is>
          <t>BRN-ENG</t>
        </is>
      </c>
      <c r="C830" t="inlineStr">
        <is>
          <t>Engineering</t>
        </is>
      </c>
      <c r="D830" s="7" t="n">
        <v>45170</v>
      </c>
      <c r="E830" s="6" t="n">
        <v>637049.21</v>
      </c>
      <c r="F830" s="6" t="n">
        <v>516128.65</v>
      </c>
      <c r="G830" s="6">
        <f>E830-F830</f>
        <v/>
      </c>
      <c r="H830" s="8">
        <f>IFERROR((E830-F830)/E830,"")</f>
        <v/>
      </c>
      <c r="I830" s="6" t="n">
        <v>120920.56</v>
      </c>
    </row>
    <row r="831">
      <c r="A831" t="inlineStr">
        <is>
          <t>Brno</t>
        </is>
      </c>
      <c r="B831" t="inlineStr">
        <is>
          <t>BRN-ENG</t>
        </is>
      </c>
      <c r="C831" t="inlineStr">
        <is>
          <t>Engineering</t>
        </is>
      </c>
      <c r="D831" s="7" t="n">
        <v>45200</v>
      </c>
      <c r="E831" s="6" t="n">
        <v>640030.3199999999</v>
      </c>
      <c r="F831" s="6" t="n">
        <v>558221.1</v>
      </c>
      <c r="G831" s="6">
        <f>E831-F831</f>
        <v/>
      </c>
      <c r="H831" s="8">
        <f>IFERROR((E831-F831)/E831,"")</f>
        <v/>
      </c>
      <c r="I831" s="6" t="n">
        <v>202729.78</v>
      </c>
    </row>
    <row r="832">
      <c r="A832" t="inlineStr">
        <is>
          <t>Brno</t>
        </is>
      </c>
      <c r="B832" t="inlineStr">
        <is>
          <t>BRN-ENG</t>
        </is>
      </c>
      <c r="C832" t="inlineStr">
        <is>
          <t>Engineering</t>
        </is>
      </c>
      <c r="D832" s="7" t="n">
        <v>45231</v>
      </c>
      <c r="E832" s="6" t="n">
        <v>640743.38</v>
      </c>
      <c r="F832" s="6" t="n">
        <v>542419.87</v>
      </c>
      <c r="G832" s="6">
        <f>E832-F832</f>
        <v/>
      </c>
      <c r="H832" s="8">
        <f>IFERROR((E832-F832)/E832,"")</f>
        <v/>
      </c>
      <c r="I832" s="6" t="n">
        <v>301053.29</v>
      </c>
    </row>
    <row r="833">
      <c r="A833" t="inlineStr">
        <is>
          <t>Brno</t>
        </is>
      </c>
      <c r="B833" t="inlineStr">
        <is>
          <t>BRN-ENG</t>
        </is>
      </c>
      <c r="C833" t="inlineStr">
        <is>
          <t>Engineering</t>
        </is>
      </c>
      <c r="D833" s="7" t="n">
        <v>45261</v>
      </c>
      <c r="E833" s="6" t="n">
        <v>630833.1</v>
      </c>
      <c r="F833" s="6" t="n">
        <v>526677.3</v>
      </c>
      <c r="G833" s="6">
        <f>E833-F833</f>
        <v/>
      </c>
      <c r="H833" s="8">
        <f>IFERROR((E833-F833)/E833,"")</f>
        <v/>
      </c>
      <c r="I833" s="6" t="n">
        <v>405209.09</v>
      </c>
    </row>
    <row r="834">
      <c r="A834" t="inlineStr">
        <is>
          <t>Brno</t>
        </is>
      </c>
      <c r="B834" t="inlineStr">
        <is>
          <t>BRN-ENG</t>
        </is>
      </c>
      <c r="C834" t="inlineStr">
        <is>
          <t>Engineering</t>
        </is>
      </c>
      <c r="D834" s="7" t="n">
        <v>45292</v>
      </c>
      <c r="E834" s="6" t="n">
        <v>623807.64</v>
      </c>
      <c r="F834" s="6" t="n">
        <v>530697.8199999999</v>
      </c>
      <c r="G834" s="6">
        <f>E834-F834</f>
        <v/>
      </c>
      <c r="H834" s="8">
        <f>IFERROR((E834-F834)/E834,"")</f>
        <v/>
      </c>
      <c r="I834" s="6" t="n">
        <v>93109.82000000001</v>
      </c>
    </row>
    <row r="835">
      <c r="A835" t="inlineStr">
        <is>
          <t>Brno</t>
        </is>
      </c>
      <c r="B835" t="inlineStr">
        <is>
          <t>BRN-ENG</t>
        </is>
      </c>
      <c r="C835" t="inlineStr">
        <is>
          <t>Engineering</t>
        </is>
      </c>
      <c r="D835" s="7" t="n">
        <v>45323</v>
      </c>
      <c r="E835" s="6" t="n">
        <v>609456.83</v>
      </c>
      <c r="F835" s="6" t="n">
        <v>500931.57</v>
      </c>
      <c r="G835" s="6">
        <f>E835-F835</f>
        <v/>
      </c>
      <c r="H835" s="8">
        <f>IFERROR((E835-F835)/E835,"")</f>
        <v/>
      </c>
      <c r="I835" s="6" t="n">
        <v>201635.08</v>
      </c>
    </row>
    <row r="836">
      <c r="A836" t="inlineStr">
        <is>
          <t>Brno</t>
        </is>
      </c>
      <c r="B836" t="inlineStr">
        <is>
          <t>BRN-ENG</t>
        </is>
      </c>
      <c r="C836" t="inlineStr">
        <is>
          <t>Engineering</t>
        </is>
      </c>
      <c r="D836" s="7" t="n">
        <v>45352</v>
      </c>
      <c r="E836" s="6" t="n">
        <v>597864.9</v>
      </c>
      <c r="F836" s="6" t="n">
        <v>504552.27</v>
      </c>
      <c r="G836" s="6">
        <f>E836-F836</f>
        <v/>
      </c>
      <c r="H836" s="8">
        <f>IFERROR((E836-F836)/E836,"")</f>
        <v/>
      </c>
      <c r="I836" s="6" t="n">
        <v>294947.71</v>
      </c>
    </row>
    <row r="837">
      <c r="A837" t="inlineStr">
        <is>
          <t>Brno</t>
        </is>
      </c>
      <c r="B837" t="inlineStr">
        <is>
          <t>BRN-ENG</t>
        </is>
      </c>
      <c r="C837" t="inlineStr">
        <is>
          <t>Engineering</t>
        </is>
      </c>
      <c r="D837" s="7" t="n">
        <v>45383</v>
      </c>
      <c r="E837" s="6" t="n">
        <v>584376.5</v>
      </c>
      <c r="F837" s="6" t="n">
        <v>483655.71</v>
      </c>
      <c r="G837" s="6">
        <f>E837-F837</f>
        <v/>
      </c>
      <c r="H837" s="8">
        <f>IFERROR((E837-F837)/E837,"")</f>
        <v/>
      </c>
      <c r="I837" s="6" t="n">
        <v>395668.5</v>
      </c>
    </row>
    <row r="838">
      <c r="A838" t="inlineStr">
        <is>
          <t>Brno</t>
        </is>
      </c>
      <c r="B838" t="inlineStr">
        <is>
          <t>BRN-ENG</t>
        </is>
      </c>
      <c r="C838" t="inlineStr">
        <is>
          <t>Engineering</t>
        </is>
      </c>
      <c r="D838" s="7" t="n">
        <v>45413</v>
      </c>
      <c r="E838" s="6" t="n">
        <v>578271.67</v>
      </c>
      <c r="F838" s="6" t="n">
        <v>496681.78</v>
      </c>
      <c r="G838" s="6">
        <f>E838-F838</f>
        <v/>
      </c>
      <c r="H838" s="8">
        <f>IFERROR((E838-F838)/E838,"")</f>
        <v/>
      </c>
      <c r="I838" s="6" t="n">
        <v>477258.39</v>
      </c>
    </row>
    <row r="839">
      <c r="A839" t="inlineStr">
        <is>
          <t>Brno</t>
        </is>
      </c>
      <c r="B839" t="inlineStr">
        <is>
          <t>BRN-ENG</t>
        </is>
      </c>
      <c r="C839" t="inlineStr">
        <is>
          <t>Engineering</t>
        </is>
      </c>
      <c r="D839" s="7" t="n">
        <v>45444</v>
      </c>
      <c r="E839" s="6" t="n">
        <v>580830.86</v>
      </c>
      <c r="F839" s="6" t="n">
        <v>502812.56</v>
      </c>
      <c r="G839" s="6">
        <f>E839-F839</f>
        <v/>
      </c>
      <c r="H839" s="8">
        <f>IFERROR((E839-F839)/E839,"")</f>
        <v/>
      </c>
      <c r="I839" s="6" t="n">
        <v>555276.6899999999</v>
      </c>
    </row>
    <row r="840">
      <c r="A840" t="inlineStr">
        <is>
          <t>Brno</t>
        </is>
      </c>
      <c r="B840" t="inlineStr">
        <is>
          <t>BRN-ENG</t>
        </is>
      </c>
      <c r="C840" t="inlineStr">
        <is>
          <t>Engineering</t>
        </is>
      </c>
      <c r="D840" s="7" t="n">
        <v>45474</v>
      </c>
      <c r="E840" s="6" t="n">
        <v>582210.13</v>
      </c>
      <c r="F840" s="6" t="n">
        <v>478329.62</v>
      </c>
      <c r="G840" s="6">
        <f>E840-F840</f>
        <v/>
      </c>
      <c r="H840" s="8">
        <f>IFERROR((E840-F840)/E840,"")</f>
        <v/>
      </c>
      <c r="I840" s="6" t="n">
        <v>659157.2</v>
      </c>
    </row>
    <row r="841">
      <c r="A841" t="inlineStr">
        <is>
          <t>Brno</t>
        </is>
      </c>
      <c r="B841" t="inlineStr">
        <is>
          <t>BRN-ENG</t>
        </is>
      </c>
      <c r="C841" t="inlineStr">
        <is>
          <t>Engineering</t>
        </is>
      </c>
      <c r="D841" s="7" t="n">
        <v>45505</v>
      </c>
      <c r="E841" s="6" t="n">
        <v>587936.16</v>
      </c>
      <c r="F841" s="6" t="n">
        <v>478437.58</v>
      </c>
      <c r="G841" s="6">
        <f>E841-F841</f>
        <v/>
      </c>
      <c r="H841" s="8">
        <f>IFERROR((E841-F841)/E841,"")</f>
        <v/>
      </c>
      <c r="I841" s="6" t="n">
        <v>768655.78</v>
      </c>
    </row>
    <row r="842">
      <c r="A842" t="inlineStr">
        <is>
          <t>Brno</t>
        </is>
      </c>
      <c r="B842" t="inlineStr">
        <is>
          <t>BRN-ENG</t>
        </is>
      </c>
      <c r="C842" t="inlineStr">
        <is>
          <t>Engineering</t>
        </is>
      </c>
      <c r="D842" s="7" t="n">
        <v>45536</v>
      </c>
      <c r="E842" s="6" t="n">
        <v>592552.17</v>
      </c>
      <c r="F842" s="6" t="n">
        <v>468819.41</v>
      </c>
      <c r="G842" s="6">
        <f>E842-F842</f>
        <v/>
      </c>
      <c r="H842" s="8">
        <f>IFERROR((E842-F842)/E842,"")</f>
        <v/>
      </c>
      <c r="I842" s="6" t="n">
        <v>892388.54</v>
      </c>
    </row>
    <row r="843">
      <c r="A843" t="inlineStr">
        <is>
          <t>Brno</t>
        </is>
      </c>
      <c r="B843" t="inlineStr">
        <is>
          <t>BRN-ENG</t>
        </is>
      </c>
      <c r="C843" t="inlineStr">
        <is>
          <t>Engineering</t>
        </is>
      </c>
      <c r="D843" s="7" t="n">
        <v>45566</v>
      </c>
      <c r="E843" s="6" t="n">
        <v>594325.5699999999</v>
      </c>
      <c r="F843" s="6" t="n">
        <v>480815.51</v>
      </c>
      <c r="G843" s="6">
        <f>E843-F843</f>
        <v/>
      </c>
      <c r="H843" s="8">
        <f>IFERROR((E843-F843)/E843,"")</f>
        <v/>
      </c>
      <c r="I843" s="6" t="n">
        <v>1005898.6</v>
      </c>
    </row>
    <row r="844">
      <c r="A844" t="inlineStr">
        <is>
          <t>Brno</t>
        </is>
      </c>
      <c r="B844" t="inlineStr">
        <is>
          <t>BRN-ENG</t>
        </is>
      </c>
      <c r="C844" t="inlineStr">
        <is>
          <t>Engineering</t>
        </is>
      </c>
      <c r="D844" s="7" t="n">
        <v>45597</v>
      </c>
      <c r="E844" s="6" t="n">
        <v>590186.51</v>
      </c>
      <c r="F844" s="6" t="n">
        <v>482974.27</v>
      </c>
      <c r="G844" s="6">
        <f>E844-F844</f>
        <v/>
      </c>
      <c r="H844" s="8">
        <f>IFERROR((E844-F844)/E844,"")</f>
        <v/>
      </c>
      <c r="I844" s="6" t="n">
        <v>1113110.84</v>
      </c>
    </row>
    <row r="845">
      <c r="A845" t="inlineStr">
        <is>
          <t>Brno</t>
        </is>
      </c>
      <c r="B845" t="inlineStr">
        <is>
          <t>BRN-ENG</t>
        </is>
      </c>
      <c r="C845" t="inlineStr">
        <is>
          <t>Engineering</t>
        </is>
      </c>
      <c r="D845" s="7" t="n">
        <v>45627</v>
      </c>
      <c r="E845" s="6" t="n">
        <v>583314.79</v>
      </c>
      <c r="F845" s="6" t="n">
        <v>485487.47</v>
      </c>
      <c r="G845" s="6">
        <f>E845-F845</f>
        <v/>
      </c>
      <c r="H845" s="8">
        <f>IFERROR((E845-F845)/E845,"")</f>
        <v/>
      </c>
      <c r="I845" s="6" t="n">
        <v>1210938.16</v>
      </c>
    </row>
    <row r="846">
      <c r="A846" t="inlineStr">
        <is>
          <t>Brno</t>
        </is>
      </c>
      <c r="B846" t="inlineStr">
        <is>
          <t>BRN-ENG</t>
        </is>
      </c>
      <c r="C846" t="inlineStr">
        <is>
          <t>Engineering</t>
        </is>
      </c>
      <c r="D846" s="7" t="n">
        <v>45658</v>
      </c>
      <c r="E846" s="6" t="n">
        <v>571824.47</v>
      </c>
      <c r="F846" s="6" t="n">
        <v>474203</v>
      </c>
      <c r="G846" s="6">
        <f>E846-F846</f>
        <v/>
      </c>
      <c r="H846" s="8">
        <f>IFERROR((E846-F846)/E846,"")</f>
        <v/>
      </c>
      <c r="I846" s="6" t="n">
        <v>97621.47</v>
      </c>
    </row>
    <row r="847">
      <c r="A847" t="inlineStr">
        <is>
          <t>Brno</t>
        </is>
      </c>
      <c r="B847" t="inlineStr">
        <is>
          <t>BRN-ENG</t>
        </is>
      </c>
      <c r="C847" t="inlineStr">
        <is>
          <t>Engineering</t>
        </is>
      </c>
      <c r="D847" s="7" t="n">
        <v>45689</v>
      </c>
      <c r="E847" s="6" t="n">
        <v>559623.55</v>
      </c>
      <c r="F847" s="6" t="n">
        <v>465717.56</v>
      </c>
      <c r="G847" s="6">
        <f>E847-F847</f>
        <v/>
      </c>
      <c r="H847" s="8">
        <f>IFERROR((E847-F847)/E847,"")</f>
        <v/>
      </c>
      <c r="I847" s="6" t="n">
        <v>191527.46</v>
      </c>
    </row>
    <row r="848">
      <c r="A848" t="inlineStr">
        <is>
          <t>Brno</t>
        </is>
      </c>
      <c r="B848" t="inlineStr">
        <is>
          <t>BRN-ENG</t>
        </is>
      </c>
      <c r="C848" t="inlineStr">
        <is>
          <t>Engineering</t>
        </is>
      </c>
      <c r="D848" s="7" t="n">
        <v>45717</v>
      </c>
      <c r="E848" s="6" t="n">
        <v>550129.45</v>
      </c>
      <c r="F848" s="6" t="n">
        <v>470310.67</v>
      </c>
      <c r="G848" s="6">
        <f>E848-F848</f>
        <v/>
      </c>
      <c r="H848" s="8">
        <f>IFERROR((E848-F848)/E848,"")</f>
        <v/>
      </c>
      <c r="I848" s="6" t="n">
        <v>271346.24</v>
      </c>
    </row>
    <row r="849">
      <c r="A849" t="inlineStr">
        <is>
          <t>Brno</t>
        </is>
      </c>
      <c r="B849" t="inlineStr">
        <is>
          <t>BRN-ENG</t>
        </is>
      </c>
      <c r="C849" t="inlineStr">
        <is>
          <t>Engineering</t>
        </is>
      </c>
      <c r="D849" s="7" t="n">
        <v>45748</v>
      </c>
      <c r="E849" s="6" t="n">
        <v>537791.51</v>
      </c>
      <c r="F849" s="6" t="n">
        <v>456145.54</v>
      </c>
      <c r="G849" s="6">
        <f>E849-F849</f>
        <v/>
      </c>
      <c r="H849" s="8">
        <f>IFERROR((E849-F849)/E849,"")</f>
        <v/>
      </c>
      <c r="I849" s="6" t="n">
        <v>352992.21</v>
      </c>
    </row>
    <row r="850">
      <c r="A850" t="inlineStr">
        <is>
          <t>Brno</t>
        </is>
      </c>
      <c r="B850" t="inlineStr">
        <is>
          <t>BRN-ENG</t>
        </is>
      </c>
      <c r="C850" t="inlineStr">
        <is>
          <t>Engineering</t>
        </is>
      </c>
      <c r="D850" s="7" t="n">
        <v>45778</v>
      </c>
      <c r="E850" s="6" t="n">
        <v>531328.38</v>
      </c>
      <c r="F850" s="6" t="n">
        <v>445972.02</v>
      </c>
      <c r="G850" s="6">
        <f>E850-F850</f>
        <v/>
      </c>
      <c r="H850" s="8">
        <f>IFERROR((E850-F850)/E850,"")</f>
        <v/>
      </c>
      <c r="I850" s="6" t="n">
        <v>438348.57</v>
      </c>
    </row>
    <row r="851">
      <c r="A851" t="inlineStr">
        <is>
          <t>Brno</t>
        </is>
      </c>
      <c r="B851" t="inlineStr">
        <is>
          <t>BRN-ENG</t>
        </is>
      </c>
      <c r="C851" t="inlineStr">
        <is>
          <t>Engineering</t>
        </is>
      </c>
      <c r="D851" s="7" t="n">
        <v>45809</v>
      </c>
      <c r="E851" s="6" t="n">
        <v>531129.8100000001</v>
      </c>
      <c r="F851" s="6" t="n">
        <v>439500.66</v>
      </c>
      <c r="G851" s="6">
        <f>E851-F851</f>
        <v/>
      </c>
      <c r="H851" s="8">
        <f>IFERROR((E851-F851)/E851,"")</f>
        <v/>
      </c>
      <c r="I851" s="6" t="n">
        <v>529977.72</v>
      </c>
    </row>
    <row r="852">
      <c r="A852" t="inlineStr">
        <is>
          <t>Brno</t>
        </is>
      </c>
      <c r="B852" t="inlineStr">
        <is>
          <t>BRN-ENG</t>
        </is>
      </c>
      <c r="C852" t="inlineStr">
        <is>
          <t>Engineering</t>
        </is>
      </c>
      <c r="D852" s="7" t="n">
        <v>45839</v>
      </c>
      <c r="E852" s="6" t="n">
        <v>534175.9300000001</v>
      </c>
      <c r="F852" s="6" t="n">
        <v>436315.46</v>
      </c>
      <c r="G852" s="6">
        <f>E852-F852</f>
        <v/>
      </c>
      <c r="H852" s="8">
        <f>IFERROR((E852-F852)/E852,"")</f>
        <v/>
      </c>
      <c r="I852" s="6" t="n">
        <v>627838.1899999999</v>
      </c>
    </row>
    <row r="853">
      <c r="A853" t="inlineStr">
        <is>
          <t>Brno</t>
        </is>
      </c>
      <c r="B853" t="inlineStr">
        <is>
          <t>BRN-ENG</t>
        </is>
      </c>
      <c r="C853" t="inlineStr">
        <is>
          <t>Engineering</t>
        </is>
      </c>
      <c r="D853" s="7" t="n">
        <v>45870</v>
      </c>
      <c r="E853" s="6" t="n">
        <v>536111.8</v>
      </c>
      <c r="F853" s="6" t="n">
        <v>447931.4</v>
      </c>
      <c r="G853" s="6">
        <f>E853-F853</f>
        <v/>
      </c>
      <c r="H853" s="8">
        <f>IFERROR((E853-F853)/E853,"")</f>
        <v/>
      </c>
      <c r="I853" s="6" t="n">
        <v>716018.59</v>
      </c>
    </row>
    <row r="854">
      <c r="A854" t="inlineStr">
        <is>
          <t>Brno</t>
        </is>
      </c>
      <c r="B854" t="inlineStr">
        <is>
          <t>BRN-ENG</t>
        </is>
      </c>
      <c r="C854" t="inlineStr">
        <is>
          <t>Engineering</t>
        </is>
      </c>
      <c r="D854" s="7" t="n">
        <v>45901</v>
      </c>
      <c r="E854" s="6" t="n">
        <v>541930.74</v>
      </c>
      <c r="F854" s="6" t="n">
        <v>456288.32</v>
      </c>
      <c r="G854" s="6">
        <f>E854-F854</f>
        <v/>
      </c>
      <c r="H854" s="8">
        <f>IFERROR((E854-F854)/E854,"")</f>
        <v/>
      </c>
      <c r="I854" s="6" t="n">
        <v>801661.01</v>
      </c>
    </row>
    <row r="855">
      <c r="A855" t="inlineStr">
        <is>
          <t>Brno</t>
        </is>
      </c>
      <c r="B855" t="inlineStr">
        <is>
          <t>BRN-ENG</t>
        </is>
      </c>
      <c r="C855" t="inlineStr">
        <is>
          <t>Engineering</t>
        </is>
      </c>
      <c r="D855" s="7" t="n">
        <v>45931</v>
      </c>
      <c r="E855" s="6" t="n">
        <v>545676.95</v>
      </c>
      <c r="F855" s="6" t="n">
        <v>457450.47</v>
      </c>
      <c r="G855" s="6">
        <f>E855-F855</f>
        <v/>
      </c>
      <c r="H855" s="8">
        <f>IFERROR((E855-F855)/E855,"")</f>
        <v/>
      </c>
      <c r="I855" s="6" t="n">
        <v>889887.49</v>
      </c>
    </row>
    <row r="856">
      <c r="A856" t="inlineStr">
        <is>
          <t>Brno</t>
        </is>
      </c>
      <c r="B856" t="inlineStr">
        <is>
          <t>BRN-ENG</t>
        </is>
      </c>
      <c r="C856" t="inlineStr">
        <is>
          <t>Engineering</t>
        </is>
      </c>
      <c r="D856" s="7" t="n">
        <v>45962</v>
      </c>
      <c r="E856" s="6" t="n">
        <v>543179.83</v>
      </c>
      <c r="F856" s="6" t="n">
        <v>483346.32</v>
      </c>
      <c r="G856" s="6">
        <f>E856-F856</f>
        <v/>
      </c>
      <c r="H856" s="8">
        <f>IFERROR((E856-F856)/E856,"")</f>
        <v/>
      </c>
      <c r="I856" s="6" t="n">
        <v>949721</v>
      </c>
    </row>
    <row r="857">
      <c r="A857" t="inlineStr">
        <is>
          <t>Brno</t>
        </is>
      </c>
      <c r="B857" t="inlineStr">
        <is>
          <t>BRN-ENG</t>
        </is>
      </c>
      <c r="C857" t="inlineStr">
        <is>
          <t>Engineering</t>
        </is>
      </c>
      <c r="D857" s="7" t="n">
        <v>45992</v>
      </c>
      <c r="E857" s="6" t="n">
        <v>532486.13</v>
      </c>
      <c r="F857" s="6" t="n">
        <v>462733.01</v>
      </c>
      <c r="G857" s="6">
        <f>E857-F857</f>
        <v/>
      </c>
      <c r="H857" s="8">
        <f>IFERROR((E857-F857)/E857,"")</f>
        <v/>
      </c>
      <c r="I857" s="6" t="n">
        <v>1019474.12</v>
      </c>
    </row>
    <row r="858">
      <c r="A858" t="inlineStr">
        <is>
          <t>Brno</t>
        </is>
      </c>
      <c r="B858" t="inlineStr">
        <is>
          <t>BRN-ENG</t>
        </is>
      </c>
      <c r="C858" t="inlineStr">
        <is>
          <t>Engineering</t>
        </is>
      </c>
      <c r="D858" s="7" t="n">
        <v>46023</v>
      </c>
      <c r="E858" s="6" t="n">
        <v>525053.97</v>
      </c>
      <c r="F858" s="6" t="n">
        <v>468177.99</v>
      </c>
      <c r="G858" s="6">
        <f>E858-F858</f>
        <v/>
      </c>
      <c r="H858" s="8">
        <f>IFERROR((E858-F858)/E858,"")</f>
        <v/>
      </c>
      <c r="I858" s="6" t="n">
        <v>56875.98</v>
      </c>
    </row>
    <row r="859">
      <c r="A859" t="inlineStr">
        <is>
          <t>Brno</t>
        </is>
      </c>
      <c r="B859" t="inlineStr">
        <is>
          <t>BRN-ENG</t>
        </is>
      </c>
      <c r="C859" t="inlineStr">
        <is>
          <t>Engineering</t>
        </is>
      </c>
      <c r="D859" s="7" t="n">
        <v>46054</v>
      </c>
      <c r="E859" s="6" t="n">
        <v>511169.28</v>
      </c>
      <c r="F859" s="6" t="n">
        <v>454403.25</v>
      </c>
      <c r="G859" s="6">
        <f>E859-F859</f>
        <v/>
      </c>
      <c r="H859" s="8">
        <f>IFERROR((E859-F859)/E859,"")</f>
        <v/>
      </c>
      <c r="I859" s="6" t="n">
        <v>113642.01</v>
      </c>
    </row>
    <row r="860">
      <c r="A860" t="inlineStr">
        <is>
          <t>Brno</t>
        </is>
      </c>
      <c r="B860" t="inlineStr">
        <is>
          <t>BRN-ENG</t>
        </is>
      </c>
      <c r="C860" t="inlineStr">
        <is>
          <t>Engineering</t>
        </is>
      </c>
      <c r="D860" s="7" t="n">
        <v>46082</v>
      </c>
      <c r="E860" s="6" t="n">
        <v>503476.87</v>
      </c>
      <c r="F860" s="6" t="n">
        <v>449121.02</v>
      </c>
      <c r="G860" s="6">
        <f>E860-F860</f>
        <v/>
      </c>
      <c r="H860" s="8">
        <f>IFERROR((E860-F860)/E860,"")</f>
        <v/>
      </c>
      <c r="I860" s="6" t="n">
        <v>167997.86</v>
      </c>
    </row>
    <row r="861">
      <c r="A861" t="inlineStr">
        <is>
          <t>Brno</t>
        </is>
      </c>
      <c r="B861" t="inlineStr">
        <is>
          <t>BRN-ENG</t>
        </is>
      </c>
      <c r="C861" t="inlineStr">
        <is>
          <t>Engineering</t>
        </is>
      </c>
      <c r="D861" s="7" t="n">
        <v>46113</v>
      </c>
      <c r="E861" s="6" t="n">
        <v>493255.37</v>
      </c>
      <c r="F861" s="6" t="n">
        <v>455773.65</v>
      </c>
      <c r="G861" s="6">
        <f>E861-F861</f>
        <v/>
      </c>
      <c r="H861" s="8">
        <f>IFERROR((E861-F861)/E861,"")</f>
        <v/>
      </c>
      <c r="I861" s="6" t="n">
        <v>205479.58</v>
      </c>
    </row>
    <row r="862">
      <c r="A862" t="inlineStr">
        <is>
          <t>Brno</t>
        </is>
      </c>
      <c r="B862" t="inlineStr">
        <is>
          <t>BRN-ENG</t>
        </is>
      </c>
      <c r="C862" t="inlineStr">
        <is>
          <t>Engineering</t>
        </is>
      </c>
      <c r="D862" s="7" t="n">
        <v>46143</v>
      </c>
      <c r="E862" s="6" t="n">
        <v>488708.79</v>
      </c>
      <c r="F862" s="6" t="n">
        <v>474255.27</v>
      </c>
      <c r="G862" s="6">
        <f>E862-F862</f>
        <v/>
      </c>
      <c r="H862" s="8">
        <f>IFERROR((E862-F862)/E862,"")</f>
        <v/>
      </c>
      <c r="I862" s="6" t="n">
        <v>219933.1</v>
      </c>
    </row>
    <row r="863">
      <c r="A863" t="inlineStr">
        <is>
          <t>Brno</t>
        </is>
      </c>
      <c r="B863" t="inlineStr">
        <is>
          <t>BRN-ENG</t>
        </is>
      </c>
      <c r="C863" t="inlineStr">
        <is>
          <t>Engineering</t>
        </is>
      </c>
      <c r="D863" s="7" t="n">
        <v>46174</v>
      </c>
      <c r="E863" s="6" t="n">
        <v>484991.22</v>
      </c>
      <c r="F863" s="6" t="n">
        <v>453083.96</v>
      </c>
      <c r="G863" s="6">
        <f>E863-F863</f>
        <v/>
      </c>
      <c r="H863" s="8">
        <f>IFERROR((E863-F863)/E863,"")</f>
        <v/>
      </c>
      <c r="I863" s="6" t="n">
        <v>251840.36</v>
      </c>
    </row>
    <row r="864">
      <c r="A864" t="inlineStr">
        <is>
          <t>Brno</t>
        </is>
      </c>
      <c r="B864" t="inlineStr">
        <is>
          <t>BRN-ENG</t>
        </is>
      </c>
      <c r="C864" t="inlineStr">
        <is>
          <t>Engineering</t>
        </is>
      </c>
      <c r="D864" s="7" t="n">
        <v>46204</v>
      </c>
      <c r="E864" s="6" t="n">
        <v>486876.33</v>
      </c>
      <c r="F864" s="6" t="n">
        <v>445270.72</v>
      </c>
      <c r="G864" s="6">
        <f>E864-F864</f>
        <v/>
      </c>
      <c r="H864" s="8">
        <f>IFERROR((E864-F864)/E864,"")</f>
        <v/>
      </c>
      <c r="I864" s="6" t="n">
        <v>293445.97</v>
      </c>
    </row>
    <row r="865">
      <c r="A865" t="inlineStr">
        <is>
          <t>Brno</t>
        </is>
      </c>
      <c r="B865" t="inlineStr">
        <is>
          <t>BRN-ENG</t>
        </is>
      </c>
      <c r="C865" t="inlineStr">
        <is>
          <t>Engineering</t>
        </is>
      </c>
      <c r="D865" s="7" t="n">
        <v>46235</v>
      </c>
      <c r="E865" s="6" t="n">
        <v>492696.94</v>
      </c>
      <c r="F865" s="6" t="n">
        <v>441533.46</v>
      </c>
      <c r="G865" s="6">
        <f>E865-F865</f>
        <v/>
      </c>
      <c r="H865" s="8">
        <f>IFERROR((E865-F865)/E865,"")</f>
        <v/>
      </c>
      <c r="I865" s="6" t="n">
        <v>344609.45</v>
      </c>
    </row>
  </sheetData>
  <autoFilter ref="A1:I865"/>
  <conditionalFormatting sqref="G2:H865">
    <cfRule type="expression" priority="1" dxfId="0">
      <formula>$H2&lt;-0.05</formula>
    </cfRule>
    <cfRule type="expression" priority="2" dxfId="1">
      <formula>$H2&gt;0.05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2026-09-29T22:09:15Z</dcterms:created>
  <dcterms:modified xsi:type="dcterms:W3CDTF">2026-09-29T22:09:16Z</dcterms:modified>
</cp:coreProperties>
</file>